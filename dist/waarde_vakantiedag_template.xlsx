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e" sheetId="1" state="visible" r:id="rId1"/>
    <sheet name="Instellingen" sheetId="2" state="visible" r:id="rId2"/>
    <sheet name="Verlofsaldi" sheetId="3" state="visible" r:id="rId3"/>
    <sheet name="Aanvulling per uur" sheetId="4" state="visible" r:id="rId4"/>
    <sheet name="Resulta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Instellingen" displayName="tblInstellingen" ref="A1:B51" headerRowCount="1">
  <autoFilter ref="A1:B51"/>
  <tableColumns count="2">
    <tableColumn id="1" name="Basis verloftype"/>
    <tableColumn id="2" name="Aanvullingsrechti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Verlof" displayName="tblVerlof" ref="A1:T501" headerRowCount="1">
  <autoFilter ref="A1:T501"/>
  <tableColumns count="20">
    <tableColumn id="1" name="Mdw."/>
    <tableColumn id="2" name="Naam"/>
    <tableColumn id="3" name="DV"/>
    <tableColumn id="4" name="Type verlof"/>
    <tableColumn id="5" name="Bkjr."/>
    <tableColumn id="6" name="Actueel saldo deze periode"/>
    <tableColumn id="7" name="Geboekt / nog op te nemen"/>
    <tableColumn id="8" name="Vorige periode"/>
    <tableColumn id="9" name="Perioderecht"/>
    <tableColumn id="10" name="Extra perioderecht"/>
    <tableColumn id="11" name="Beginsaldo"/>
    <tableColumn id="12" name="Corr."/>
    <tableColumn id="13" name="Opgenomen"/>
    <tableColumn id="14" name="Saldo"/>
    <tableColumn id="15" name="Opbouwjaar"/>
    <tableColumn id="16" name="Basis_type"/>
    <tableColumn id="17" name="Aanvullingsrechtig"/>
    <tableColumn id="18" name="Aanvulling_pu"/>
    <tableColumn id="19" name="Gewicht"/>
    <tableColumn id="20" name="Meetelle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Aanvulling" displayName="tblAanvulling" ref="A1:G501" headerRowCount="1">
  <autoFilter ref="A1:G501"/>
  <tableColumns count="7">
    <tableColumn id="1" name="Mdw."/>
    <tableColumn id="2" name="Naam"/>
    <tableColumn id="3" name="DV"/>
    <tableColumn id="4" name="LC"/>
    <tableColumn id="5" name="Omschrijving"/>
    <tableColumn id="6" name="Totaalbedrag"/>
    <tableColumn id="7" name="Bkjr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Waarde vakantiedag — Gewogen aanvulling p/u</t>
        </is>
      </c>
    </row>
    <row r="2">
      <c r="A2" t="inlineStr"/>
    </row>
    <row r="3">
      <c r="A3" t="inlineStr">
        <is>
          <t>Doel</t>
        </is>
      </c>
    </row>
    <row r="4">
      <c r="A4" t="inlineStr">
        <is>
          <t xml:space="preserve">    Per medewerker één gewogen gemiddelde aanvulling p/u berekenen,</t>
        </is>
      </c>
    </row>
    <row r="5">
      <c r="A5" t="inlineStr">
        <is>
          <t xml:space="preserve">    zodat elk in het lopende kalenderjaar opgenomen verlofuur dezelfde</t>
        </is>
      </c>
    </row>
    <row r="6">
      <c r="A6" t="inlineStr">
        <is>
          <t xml:space="preserve">    aanvulling krijgt — ongeacht uit welk opbouwjaar het verlof komt.</t>
        </is>
      </c>
    </row>
    <row r="7">
      <c r="A7" t="inlineStr"/>
    </row>
    <row r="8">
      <c r="A8" t="inlineStr">
        <is>
          <t>Stappen</t>
        </is>
      </c>
    </row>
    <row r="9">
      <c r="A9" t="inlineStr">
        <is>
          <t xml:space="preserve">    1. Plak de verlofsaldi-export in het blad 'Verlofsaldi'.</t>
        </is>
      </c>
    </row>
    <row r="10">
      <c r="A10" t="inlineStr">
        <is>
          <t xml:space="preserve">    2. Plak de aanvulling-per-uur-export in het blad 'Aanvulling per uur'.</t>
        </is>
      </c>
    </row>
    <row r="11">
      <c r="A11" t="inlineStr">
        <is>
          <t xml:space="preserve">    3. Controleer het blad 'Instellingen'. Per basis-verloftype (de</t>
        </is>
      </c>
    </row>
    <row r="12">
      <c r="A12" t="inlineStr">
        <is>
          <t xml:space="preserve">       naam zonder jaartal) staat hier of er aanvulling over betaald</t>
        </is>
      </c>
    </row>
    <row r="13">
      <c r="A13" t="inlineStr">
        <is>
          <t xml:space="preserve">       moet worden (Ja/Nee). Onbekende basistypes verschijnen rechts</t>
        </is>
      </c>
    </row>
    <row r="14">
      <c r="A14" t="inlineStr">
        <is>
          <t xml:space="preserve">       op hetzelfde blad met status 'ONTBREEKT'.</t>
        </is>
      </c>
    </row>
    <row r="15">
      <c r="A15" t="inlineStr">
        <is>
          <t xml:space="preserve">    4. Lees het resultaat af in het blad 'Resultaat'.</t>
        </is>
      </c>
    </row>
    <row r="16">
      <c r="A16" t="inlineStr"/>
    </row>
    <row r="17">
      <c r="A17" t="inlineStr">
        <is>
          <t>Rekenregel</t>
        </is>
      </c>
    </row>
    <row r="18">
      <c r="A18" t="inlineStr">
        <is>
          <t xml:space="preserve">    Alleen verlofregels met een 4-cijferig opbouwjaar in de naam</t>
        </is>
      </c>
    </row>
    <row r="19">
      <c r="A19" t="inlineStr">
        <is>
          <t xml:space="preserve">    tellen mee. Per meetellende regel:</t>
        </is>
      </c>
    </row>
    <row r="20">
      <c r="A20" t="inlineStr">
        <is>
          <t xml:space="preserve">        gewicht = Beginsaldo × aanvulling p/u (uit opbouwjaar)</t>
        </is>
      </c>
    </row>
    <row r="21">
      <c r="A21" t="inlineStr">
        <is>
          <t xml:space="preserve">    Aanvullingsrechtig = Nee → gewicht = 0, maar de uren tellen wél</t>
        </is>
      </c>
    </row>
    <row r="22">
      <c r="A22" t="inlineStr">
        <is>
          <t xml:space="preserve">    mee in de noemer en verlagen zo het gewogen gemiddelde.</t>
        </is>
      </c>
    </row>
    <row r="23">
      <c r="A23" t="inlineStr">
        <is>
          <t xml:space="preserve">    Per medewerker (over alle DV's):</t>
        </is>
      </c>
    </row>
    <row r="24">
      <c r="A24" t="inlineStr">
        <is>
          <t xml:space="preserve">        gewogen aanvulling p/u = SOM(gewicht) / SOM(Beginsaldo)</t>
        </is>
      </c>
    </row>
    <row r="25">
      <c r="A25" t="inlineStr"/>
    </row>
    <row r="26">
      <c r="A26" t="inlineStr">
        <is>
          <t>Cijfervoorbeeld uit de business-specificatie</t>
        </is>
      </c>
    </row>
    <row r="27">
      <c r="A27" t="inlineStr">
        <is>
          <t xml:space="preserve">    Bovenwettelijk 2025 =  32u × €3 =  €96</t>
        </is>
      </c>
    </row>
    <row r="28">
      <c r="A28" t="inlineStr">
        <is>
          <t xml:space="preserve">    Wettelijk     2026 = 160u × €4 = €640</t>
        </is>
      </c>
    </row>
    <row r="29">
      <c r="A29" t="inlineStr">
        <is>
          <t xml:space="preserve">    Bovenwettelijk 2026 =  60u × €4 = €240</t>
        </is>
      </c>
    </row>
    <row r="30">
      <c r="A30" t="inlineStr">
        <is>
          <t xml:space="preserve">    Totaal: 252u, €976  →  gemiddeld €3,87 p/u</t>
        </is>
      </c>
    </row>
    <row r="31">
      <c r="A31" t="inlineStr"/>
    </row>
    <row r="32">
      <c r="A32" t="inlineStr">
        <is>
          <t>Let op</t>
        </is>
      </c>
    </row>
    <row r="33">
      <c r="A33" t="inlineStr">
        <is>
          <t xml:space="preserve">    • De aanvulling p/u wordt gezocht op Mdw. + Opbouwjaar.</t>
        </is>
      </c>
    </row>
    <row r="34">
      <c r="A34" t="inlineStr">
        <is>
          <t xml:space="preserve">      De DV in het aanvullingsblad wordt genegeerd, zodat verlof uit</t>
        </is>
      </c>
    </row>
    <row r="35">
      <c r="A35" t="inlineStr">
        <is>
          <t xml:space="preserve">      een eerder jaar altijd het tarief van dát jaar krijgt (ook als</t>
        </is>
      </c>
    </row>
    <row r="36">
      <c r="A36" t="inlineStr">
        <is>
          <t xml:space="preserve">      dat onder een andere DV is geboekt).</t>
        </is>
      </c>
    </row>
    <row r="37">
      <c r="A37" t="inlineStr">
        <is>
          <t xml:space="preserve">    • Types zonder jaartal in de naam (bv. 'Negatief verlof')</t>
        </is>
      </c>
    </row>
    <row r="38">
      <c r="A38" t="inlineStr">
        <is>
          <t xml:space="preserve">      worden volledig genegeerd — niet in teller én niet in noemer.</t>
        </is>
      </c>
    </row>
    <row r="39">
      <c r="A39" t="inlineStr">
        <is>
          <t xml:space="preserve">    • Basis-type met status 'ONBEKEND' in de kolom Aanvullingsrechtig</t>
        </is>
      </c>
    </row>
    <row r="40">
      <c r="A40" t="inlineStr">
        <is>
          <t xml:space="preserve">      = nog niet ingesteld op het blad 'Instellingen'. Voeg die regel</t>
        </is>
      </c>
    </row>
    <row r="41">
      <c r="A41" t="inlineStr">
        <is>
          <t xml:space="preserve">      dan toe en kies Ja of Nee.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4" max="4"/>
    <col width="14" customWidth="1" min="5" max="5"/>
  </cols>
  <sheetData>
    <row r="1">
      <c r="A1" s="2" t="inlineStr">
        <is>
          <t>Basis verloftype</t>
        </is>
      </c>
      <c r="B1" s="2" t="inlineStr">
        <is>
          <t>Aanvullingsrechtig</t>
        </is>
      </c>
      <c r="D1" s="2" t="inlineStr">
        <is>
          <t>Basistypes in data</t>
        </is>
      </c>
      <c r="E1" s="2" t="inlineStr">
        <is>
          <t>Status</t>
        </is>
      </c>
    </row>
    <row r="2">
      <c r="A2" t="inlineStr">
        <is>
          <t>Wettelijke rechten</t>
        </is>
      </c>
      <c r="B2" t="inlineStr">
        <is>
          <t>Ja</t>
        </is>
      </c>
      <c r="D2">
        <f>IFERROR(SORT(UNIQUE(FILTER(tblVerlof[Basis_type],tblVerlof[Basis_type]&lt;&gt;""))),"")</f>
        <v/>
      </c>
      <c r="E2">
        <f>IF(D2#="","",IF(ISNUMBER(MATCH(D2#,tblInstellingen[Basis verloftype],0)),"OK","ONTBREEKT"))</f>
        <v/>
      </c>
    </row>
    <row r="3">
      <c r="A3" t="inlineStr">
        <is>
          <t>Bovenwettelijke rechten</t>
        </is>
      </c>
      <c r="B3" t="inlineStr">
        <is>
          <t>Ja</t>
        </is>
      </c>
    </row>
    <row r="4">
      <c r="A4" t="inlineStr">
        <is>
          <t>Bovenwettelijke rechten (aanv.)</t>
        </is>
      </c>
      <c r="B4" t="inlineStr">
        <is>
          <t>Ja</t>
        </is>
      </c>
    </row>
    <row r="5">
      <c r="A5" t="inlineStr">
        <is>
          <t>Negatief verlof</t>
        </is>
      </c>
      <c r="B5" t="inlineStr">
        <is>
          <t>Nee</t>
        </is>
      </c>
    </row>
  </sheetData>
  <dataValidations count="1">
    <dataValidation sqref="B2:B51" showDropDown="0" showInputMessage="0" showErrorMessage="0" allowBlank="1" type="list">
      <formula1>"Ja,Nee"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36" customWidth="1" min="4" max="4"/>
    <col width="8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8" customWidth="1" min="12" max="12"/>
    <col width="12" customWidth="1" min="13" max="13"/>
    <col width="10" customWidth="1" min="14" max="14"/>
    <col width="11" customWidth="1" min="15" max="15"/>
    <col width="30" customWidth="1" min="16" max="16"/>
    <col width="18" customWidth="1" min="17" max="17"/>
    <col width="14" customWidth="1" min="18" max="18"/>
    <col width="12" customWidth="1" min="19" max="19"/>
    <col width="10" customWidth="1" min="20" max="20"/>
  </cols>
  <sheetData>
    <row r="1">
      <c r="A1" s="2" t="inlineStr">
        <is>
          <t>Mdw.</t>
        </is>
      </c>
      <c r="B1" s="2" t="inlineStr">
        <is>
          <t>Naam</t>
        </is>
      </c>
      <c r="C1" s="2" t="inlineStr">
        <is>
          <t>DV</t>
        </is>
      </c>
      <c r="D1" s="2" t="inlineStr">
        <is>
          <t>Type verlof</t>
        </is>
      </c>
      <c r="E1" s="2" t="inlineStr">
        <is>
          <t>Bkjr.</t>
        </is>
      </c>
      <c r="F1" s="2" t="inlineStr">
        <is>
          <t>Actueel saldo deze periode</t>
        </is>
      </c>
      <c r="G1" s="2" t="inlineStr">
        <is>
          <t>Geboekt / nog op te nemen</t>
        </is>
      </c>
      <c r="H1" s="2" t="inlineStr">
        <is>
          <t>Vorige periode</t>
        </is>
      </c>
      <c r="I1" s="2" t="inlineStr">
        <is>
          <t>Perioderecht</t>
        </is>
      </c>
      <c r="J1" s="2" t="inlineStr">
        <is>
          <t>Extra perioderecht</t>
        </is>
      </c>
      <c r="K1" s="2" t="inlineStr">
        <is>
          <t>Beginsaldo</t>
        </is>
      </c>
      <c r="L1" s="2" t="inlineStr">
        <is>
          <t>Corr.</t>
        </is>
      </c>
      <c r="M1" s="2" t="inlineStr">
        <is>
          <t>Opgenomen</t>
        </is>
      </c>
      <c r="N1" s="2" t="inlineStr">
        <is>
          <t>Saldo</t>
        </is>
      </c>
      <c r="O1" s="3" t="inlineStr">
        <is>
          <t>Opbouwjaar</t>
        </is>
      </c>
      <c r="P1" s="3" t="inlineStr">
        <is>
          <t>Basis_type</t>
        </is>
      </c>
      <c r="Q1" s="3" t="inlineStr">
        <is>
          <t>Aanvullingsrechtig</t>
        </is>
      </c>
      <c r="R1" s="3" t="inlineStr">
        <is>
          <t>Aanvulling_pu</t>
        </is>
      </c>
      <c r="S1" s="3" t="inlineStr">
        <is>
          <t>Gewicht</t>
        </is>
      </c>
      <c r="T1" s="3" t="inlineStr">
        <is>
          <t>Meetellen</t>
        </is>
      </c>
    </row>
    <row r="2">
      <c r="A2" t="n">
        <v>10004</v>
      </c>
      <c r="B2" t="inlineStr">
        <is>
          <t>Joris Alofs</t>
        </is>
      </c>
      <c r="C2" t="n">
        <v>2</v>
      </c>
      <c r="D2" t="inlineStr">
        <is>
          <t>Negatief verlof</t>
        </is>
      </c>
      <c r="E2" t="n">
        <v>2026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>
        <f>LET(t,[@[Type verlof]],s,SEQUENCE(MAX(1,LEN(t)-3)),k,IFERROR(--MID(t,s,4),0),g,FILTER(k,(k&gt;=2000)*(k&lt;=2100),""),IFERROR(INDEX(g,1),""))</f>
        <v/>
      </c>
      <c r="P2">
        <f>LET(t,[@[Type verlof]],jj,[@Opbouwjaar],s,IF(jj="",t,SUBSTITUTE(t," "&amp;jj,"")),TRIM(s))</f>
        <v/>
      </c>
      <c r="Q2">
        <f>IF([@[Type verlof]]="","",IFERROR(XLOOKUP([@Basis_type],tblInstellingen[Basis verloftype],tblInstellingen[Aanvullingsrechtig]),"ONBEKEND"))</f>
        <v/>
      </c>
      <c r="R2">
        <f>IF(OR([@Opbouwjaar]="",[@[Type verlof]]=""),0,IFERROR(INDEX(FILTER(tblAanvulling[Totaalbedrag],(tblAanvulling[Mdw.]=[@[Mdw.]])*(tblAanvulling[Bkjr.]=[@Opbouwjaar]),0),1),0))</f>
        <v/>
      </c>
      <c r="S2">
        <f>IF([@Aanvullingsrechtig]="Ja",[@Beginsaldo]*[@Aanvulling_pu],0)</f>
        <v/>
      </c>
      <c r="T2">
        <f>IF(AND([@Opbouwjaar]&lt;&gt;"",[@Beginsaldo]&lt;&gt;0,OR([@Aanvullingsrechtig]="Ja",[@Aanvullingsrechtig]="Nee")),1,0)</f>
        <v/>
      </c>
    </row>
    <row r="3">
      <c r="A3" t="n">
        <v>10004</v>
      </c>
      <c r="B3" t="inlineStr">
        <is>
          <t>Joris Alofs</t>
        </is>
      </c>
      <c r="C3" t="n">
        <v>2</v>
      </c>
      <c r="D3" t="inlineStr">
        <is>
          <t>Bovenwettelijke rechten 2025</t>
        </is>
      </c>
      <c r="E3" t="n">
        <v>2026</v>
      </c>
      <c r="F3" t="n">
        <v>5.68</v>
      </c>
      <c r="G3" t="n">
        <v>5.68</v>
      </c>
      <c r="H3" t="n">
        <v>5.68</v>
      </c>
      <c r="I3" t="n">
        <v>0</v>
      </c>
      <c r="J3" t="n">
        <v>0</v>
      </c>
      <c r="K3" t="n">
        <v>5.68</v>
      </c>
      <c r="L3" t="n">
        <v>0</v>
      </c>
      <c r="M3" t="n">
        <v>5.68</v>
      </c>
      <c r="N3" t="n">
        <v>0</v>
      </c>
      <c r="O3">
        <f>LET(t,[@[Type verlof]],s,SEQUENCE(MAX(1,LEN(t)-3)),k,IFERROR(--MID(t,s,4),0),g,FILTER(k,(k&gt;=2000)*(k&lt;=2100),""),IFERROR(INDEX(g,1),""))</f>
        <v/>
      </c>
      <c r="P3">
        <f>LET(t,[@[Type verlof]],jj,[@Opbouwjaar],s,IF(jj="",t,SUBSTITUTE(t," "&amp;jj,"")),TRIM(s))</f>
        <v/>
      </c>
      <c r="Q3">
        <f>IF([@[Type verlof]]="","",IFERROR(XLOOKUP([@Basis_type],tblInstellingen[Basis verloftype],tblInstellingen[Aanvullingsrechtig]),"ONBEKEND"))</f>
        <v/>
      </c>
      <c r="R3">
        <f>IF(OR([@Opbouwjaar]="",[@[Type verlof]]=""),0,IFERROR(INDEX(FILTER(tblAanvulling[Totaalbedrag],(tblAanvulling[Mdw.]=[@[Mdw.]])*(tblAanvulling[Bkjr.]=[@Opbouwjaar]),0),1),0))</f>
        <v/>
      </c>
      <c r="S3">
        <f>IF([@Aanvullingsrechtig]="Ja",[@Beginsaldo]*[@Aanvulling_pu],0)</f>
        <v/>
      </c>
      <c r="T3">
        <f>IF(AND([@Opbouwjaar]&lt;&gt;"",[@Beginsaldo]&lt;&gt;0,OR([@Aanvullingsrechtig]="Ja",[@Aanvullingsrechtig]="Nee")),1,0)</f>
        <v/>
      </c>
    </row>
    <row r="4">
      <c r="A4" t="n">
        <v>10004</v>
      </c>
      <c r="B4" t="inlineStr">
        <is>
          <t>Joris Alofs</t>
        </is>
      </c>
      <c r="C4" t="n">
        <v>2</v>
      </c>
      <c r="D4" t="inlineStr">
        <is>
          <t>Wettelijke rechten 2026</t>
        </is>
      </c>
      <c r="E4" t="n">
        <v>2026</v>
      </c>
      <c r="F4" t="n">
        <v>160</v>
      </c>
      <c r="G4" t="n">
        <v>152</v>
      </c>
      <c r="H4" t="n">
        <v>0</v>
      </c>
      <c r="I4" t="n">
        <v>160</v>
      </c>
      <c r="J4" t="n">
        <v>0</v>
      </c>
      <c r="K4" t="n">
        <v>160</v>
      </c>
      <c r="L4" t="n">
        <v>0</v>
      </c>
      <c r="M4" t="n">
        <v>160</v>
      </c>
      <c r="N4" t="n">
        <v>0</v>
      </c>
      <c r="O4">
        <f>LET(t,[@[Type verlof]],s,SEQUENCE(MAX(1,LEN(t)-3)),k,IFERROR(--MID(t,s,4),0),g,FILTER(k,(k&gt;=2000)*(k&lt;=2100),""),IFERROR(INDEX(g,1),""))</f>
        <v/>
      </c>
      <c r="P4">
        <f>LET(t,[@[Type verlof]],jj,[@Opbouwjaar],s,IF(jj="",t,SUBSTITUTE(t," "&amp;jj,"")),TRIM(s))</f>
        <v/>
      </c>
      <c r="Q4">
        <f>IF([@[Type verlof]]="","",IFERROR(XLOOKUP([@Basis_type],tblInstellingen[Basis verloftype],tblInstellingen[Aanvullingsrechtig]),"ONBEKEND"))</f>
        <v/>
      </c>
      <c r="R4">
        <f>IF(OR([@Opbouwjaar]="",[@[Type verlof]]=""),0,IFERROR(INDEX(FILTER(tblAanvulling[Totaalbedrag],(tblAanvulling[Mdw.]=[@[Mdw.]])*(tblAanvulling[Bkjr.]=[@Opbouwjaar]),0),1),0))</f>
        <v/>
      </c>
      <c r="S4">
        <f>IF([@Aanvullingsrechtig]="Ja",[@Beginsaldo]*[@Aanvulling_pu],0)</f>
        <v/>
      </c>
      <c r="T4">
        <f>IF(AND([@Opbouwjaar]&lt;&gt;"",[@Beginsaldo]&lt;&gt;0,OR([@Aanvullingsrechtig]="Ja",[@Aanvullingsrechtig]="Nee")),1,0)</f>
        <v/>
      </c>
    </row>
    <row r="5">
      <c r="A5" t="n">
        <v>10004</v>
      </c>
      <c r="B5" t="inlineStr">
        <is>
          <t>Joris Alofs</t>
        </is>
      </c>
      <c r="C5" t="n">
        <v>2</v>
      </c>
      <c r="D5" t="inlineStr">
        <is>
          <t>Bovenwettelijke rechten 2026</t>
        </is>
      </c>
      <c r="E5" t="n">
        <v>2026</v>
      </c>
      <c r="F5" t="n">
        <v>28</v>
      </c>
      <c r="G5" t="n">
        <v>0</v>
      </c>
      <c r="H5" t="n">
        <v>0</v>
      </c>
      <c r="I5" t="n">
        <v>28</v>
      </c>
      <c r="J5" t="n">
        <v>0</v>
      </c>
      <c r="K5" t="n">
        <v>28</v>
      </c>
      <c r="L5" t="n">
        <v>0</v>
      </c>
      <c r="M5" t="n">
        <v>0</v>
      </c>
      <c r="N5" t="n">
        <v>28</v>
      </c>
      <c r="O5">
        <f>LET(t,[@[Type verlof]],s,SEQUENCE(MAX(1,LEN(t)-3)),k,IFERROR(--MID(t,s,4),0),g,FILTER(k,(k&gt;=2000)*(k&lt;=2100),""),IFERROR(INDEX(g,1),""))</f>
        <v/>
      </c>
      <c r="P5">
        <f>LET(t,[@[Type verlof]],jj,[@Opbouwjaar],s,IF(jj="",t,SUBSTITUTE(t," "&amp;jj,"")),TRIM(s))</f>
        <v/>
      </c>
      <c r="Q5">
        <f>IF([@[Type verlof]]="","",IFERROR(XLOOKUP([@Basis_type],tblInstellingen[Basis verloftype],tblInstellingen[Aanvullingsrechtig]),"ONBEKEND"))</f>
        <v/>
      </c>
      <c r="R5">
        <f>IF(OR([@Opbouwjaar]="",[@[Type verlof]]=""),0,IFERROR(INDEX(FILTER(tblAanvulling[Totaalbedrag],(tblAanvulling[Mdw.]=[@[Mdw.]])*(tblAanvulling[Bkjr.]=[@Opbouwjaar]),0),1),0))</f>
        <v/>
      </c>
      <c r="S5">
        <f>IF([@Aanvullingsrechtig]="Ja",[@Beginsaldo]*[@Aanvulling_pu],0)</f>
        <v/>
      </c>
      <c r="T5">
        <f>IF(AND([@Opbouwjaar]&lt;&gt;"",[@Beginsaldo]&lt;&gt;0,OR([@Aanvullingsrechtig]="Ja",[@Aanvullingsrechtig]="Nee")),1,0)</f>
        <v/>
      </c>
    </row>
    <row r="6">
      <c r="A6" t="n">
        <v>10004</v>
      </c>
      <c r="B6" t="inlineStr">
        <is>
          <t>Joris Alofs</t>
        </is>
      </c>
      <c r="C6" t="n">
        <v>2</v>
      </c>
      <c r="D6" t="inlineStr">
        <is>
          <t>Bovenwettelijke rechten 2026 (aanv.)</t>
        </is>
      </c>
      <c r="E6" t="n">
        <v>2026</v>
      </c>
      <c r="F6" t="n">
        <v>56</v>
      </c>
      <c r="G6" t="n">
        <v>10.32</v>
      </c>
      <c r="H6" t="n">
        <v>0</v>
      </c>
      <c r="I6" t="n">
        <v>32</v>
      </c>
      <c r="J6" t="n">
        <v>24</v>
      </c>
      <c r="K6" t="n">
        <v>56</v>
      </c>
      <c r="L6" t="n">
        <v>0</v>
      </c>
      <c r="M6" t="n">
        <v>10.32</v>
      </c>
      <c r="N6" t="n">
        <v>45.68</v>
      </c>
      <c r="O6">
        <f>LET(t,[@[Type verlof]],s,SEQUENCE(MAX(1,LEN(t)-3)),k,IFERROR(--MID(t,s,4),0),g,FILTER(k,(k&gt;=2000)*(k&lt;=2100),""),IFERROR(INDEX(g,1),""))</f>
        <v/>
      </c>
      <c r="P6">
        <f>LET(t,[@[Type verlof]],jj,[@Opbouwjaar],s,IF(jj="",t,SUBSTITUTE(t," "&amp;jj,"")),TRIM(s))</f>
        <v/>
      </c>
      <c r="Q6">
        <f>IF([@[Type verlof]]="","",IFERROR(XLOOKUP([@Basis_type],tblInstellingen[Basis verloftype],tblInstellingen[Aanvullingsrechtig]),"ONBEKEND"))</f>
        <v/>
      </c>
      <c r="R6">
        <f>IF(OR([@Opbouwjaar]="",[@[Type verlof]]=""),0,IFERROR(INDEX(FILTER(tblAanvulling[Totaalbedrag],(tblAanvulling[Mdw.]=[@[Mdw.]])*(tblAanvulling[Bkjr.]=[@Opbouwjaar]),0),1),0))</f>
        <v/>
      </c>
      <c r="S6">
        <f>IF([@Aanvullingsrechtig]="Ja",[@Beginsaldo]*[@Aanvulling_pu],0)</f>
        <v/>
      </c>
      <c r="T6">
        <f>IF(AND([@Opbouwjaar]&lt;&gt;"",[@Beginsaldo]&lt;&gt;0,OR([@Aanvullingsrechtig]="Ja",[@Aanvullingsrechtig]="Nee")),1,0)</f>
        <v/>
      </c>
    </row>
    <row r="7">
      <c r="O7">
        <f>LET(t,[@[Type verlof]],s,SEQUENCE(MAX(1,LEN(t)-3)),k,IFERROR(--MID(t,s,4),0),g,FILTER(k,(k&gt;=2000)*(k&lt;=2100),""),IFERROR(INDEX(g,1),""))</f>
        <v/>
      </c>
      <c r="P7">
        <f>LET(t,[@[Type verlof]],jj,[@Opbouwjaar],s,IF(jj="",t,SUBSTITUTE(t," "&amp;jj,"")),TRIM(s))</f>
        <v/>
      </c>
      <c r="Q7">
        <f>IF([@[Type verlof]]="","",IFERROR(XLOOKUP([@Basis_type],tblInstellingen[Basis verloftype],tblInstellingen[Aanvullingsrechtig]),"ONBEKEND"))</f>
        <v/>
      </c>
      <c r="R7">
        <f>IF(OR([@Opbouwjaar]="",[@[Type verlof]]=""),0,IFERROR(INDEX(FILTER(tblAanvulling[Totaalbedrag],(tblAanvulling[Mdw.]=[@[Mdw.]])*(tblAanvulling[Bkjr.]=[@Opbouwjaar]),0),1),0))</f>
        <v/>
      </c>
      <c r="S7">
        <f>IF([@Aanvullingsrechtig]="Ja",[@Beginsaldo]*[@Aanvulling_pu],0)</f>
        <v/>
      </c>
      <c r="T7">
        <f>IF(AND([@Opbouwjaar]&lt;&gt;"",[@Beginsaldo]&lt;&gt;0,OR([@Aanvullingsrechtig]="Ja",[@Aanvullingsrechtig]="Nee")),1,0)</f>
        <v/>
      </c>
    </row>
    <row r="8">
      <c r="O8">
        <f>LET(t,[@[Type verlof]],s,SEQUENCE(MAX(1,LEN(t)-3)),k,IFERROR(--MID(t,s,4),0),g,FILTER(k,(k&gt;=2000)*(k&lt;=2100),""),IFERROR(INDEX(g,1),""))</f>
        <v/>
      </c>
      <c r="P8">
        <f>LET(t,[@[Type verlof]],jj,[@Opbouwjaar],s,IF(jj="",t,SUBSTITUTE(t," "&amp;jj,"")),TRIM(s))</f>
        <v/>
      </c>
      <c r="Q8">
        <f>IF([@[Type verlof]]="","",IFERROR(XLOOKUP([@Basis_type],tblInstellingen[Basis verloftype],tblInstellingen[Aanvullingsrechtig]),"ONBEKEND"))</f>
        <v/>
      </c>
      <c r="R8">
        <f>IF(OR([@Opbouwjaar]="",[@[Type verlof]]=""),0,IFERROR(INDEX(FILTER(tblAanvulling[Totaalbedrag],(tblAanvulling[Mdw.]=[@[Mdw.]])*(tblAanvulling[Bkjr.]=[@Opbouwjaar]),0),1),0))</f>
        <v/>
      </c>
      <c r="S8">
        <f>IF([@Aanvullingsrechtig]="Ja",[@Beginsaldo]*[@Aanvulling_pu],0)</f>
        <v/>
      </c>
      <c r="T8">
        <f>IF(AND([@Opbouwjaar]&lt;&gt;"",[@Beginsaldo]&lt;&gt;0,OR([@Aanvullingsrechtig]="Ja",[@Aanvullingsrechtig]="Nee")),1,0)</f>
        <v/>
      </c>
    </row>
    <row r="9">
      <c r="O9">
        <f>LET(t,[@[Type verlof]],s,SEQUENCE(MAX(1,LEN(t)-3)),k,IFERROR(--MID(t,s,4),0),g,FILTER(k,(k&gt;=2000)*(k&lt;=2100),""),IFERROR(INDEX(g,1),""))</f>
        <v/>
      </c>
      <c r="P9">
        <f>LET(t,[@[Type verlof]],jj,[@Opbouwjaar],s,IF(jj="",t,SUBSTITUTE(t," "&amp;jj,"")),TRIM(s))</f>
        <v/>
      </c>
      <c r="Q9">
        <f>IF([@[Type verlof]]="","",IFERROR(XLOOKUP([@Basis_type],tblInstellingen[Basis verloftype],tblInstellingen[Aanvullingsrechtig]),"ONBEKEND"))</f>
        <v/>
      </c>
      <c r="R9">
        <f>IF(OR([@Opbouwjaar]="",[@[Type verlof]]=""),0,IFERROR(INDEX(FILTER(tblAanvulling[Totaalbedrag],(tblAanvulling[Mdw.]=[@[Mdw.]])*(tblAanvulling[Bkjr.]=[@Opbouwjaar]),0),1),0))</f>
        <v/>
      </c>
      <c r="S9">
        <f>IF([@Aanvullingsrechtig]="Ja",[@Beginsaldo]*[@Aanvulling_pu],0)</f>
        <v/>
      </c>
      <c r="T9">
        <f>IF(AND([@Opbouwjaar]&lt;&gt;"",[@Beginsaldo]&lt;&gt;0,OR([@Aanvullingsrechtig]="Ja",[@Aanvullingsrechtig]="Nee")),1,0)</f>
        <v/>
      </c>
    </row>
    <row r="10">
      <c r="O10">
        <f>LET(t,[@[Type verlof]],s,SEQUENCE(MAX(1,LEN(t)-3)),k,IFERROR(--MID(t,s,4),0),g,FILTER(k,(k&gt;=2000)*(k&lt;=2100),""),IFERROR(INDEX(g,1),""))</f>
        <v/>
      </c>
      <c r="P10">
        <f>LET(t,[@[Type verlof]],jj,[@Opbouwjaar],s,IF(jj="",t,SUBSTITUTE(t," "&amp;jj,"")),TRIM(s))</f>
        <v/>
      </c>
      <c r="Q10">
        <f>IF([@[Type verlof]]="","",IFERROR(XLOOKUP([@Basis_type],tblInstellingen[Basis verloftype],tblInstellingen[Aanvullingsrechtig]),"ONBEKEND"))</f>
        <v/>
      </c>
      <c r="R10">
        <f>IF(OR([@Opbouwjaar]="",[@[Type verlof]]=""),0,IFERROR(INDEX(FILTER(tblAanvulling[Totaalbedrag],(tblAanvulling[Mdw.]=[@[Mdw.]])*(tblAanvulling[Bkjr.]=[@Opbouwjaar]),0),1),0))</f>
        <v/>
      </c>
      <c r="S10">
        <f>IF([@Aanvullingsrechtig]="Ja",[@Beginsaldo]*[@Aanvulling_pu],0)</f>
        <v/>
      </c>
      <c r="T10">
        <f>IF(AND([@Opbouwjaar]&lt;&gt;"",[@Beginsaldo]&lt;&gt;0,OR([@Aanvullingsrechtig]="Ja",[@Aanvullingsrechtig]="Nee")),1,0)</f>
        <v/>
      </c>
    </row>
    <row r="11">
      <c r="O11">
        <f>LET(t,[@[Type verlof]],s,SEQUENCE(MAX(1,LEN(t)-3)),k,IFERROR(--MID(t,s,4),0),g,FILTER(k,(k&gt;=2000)*(k&lt;=2100),""),IFERROR(INDEX(g,1),""))</f>
        <v/>
      </c>
      <c r="P11">
        <f>LET(t,[@[Type verlof]],jj,[@Opbouwjaar],s,IF(jj="",t,SUBSTITUTE(t," "&amp;jj,"")),TRIM(s))</f>
        <v/>
      </c>
      <c r="Q11">
        <f>IF([@[Type verlof]]="","",IFERROR(XLOOKUP([@Basis_type],tblInstellingen[Basis verloftype],tblInstellingen[Aanvullingsrechtig]),"ONBEKEND"))</f>
        <v/>
      </c>
      <c r="R11">
        <f>IF(OR([@Opbouwjaar]="",[@[Type verlof]]=""),0,IFERROR(INDEX(FILTER(tblAanvulling[Totaalbedrag],(tblAanvulling[Mdw.]=[@[Mdw.]])*(tblAanvulling[Bkjr.]=[@Opbouwjaar]),0),1),0))</f>
        <v/>
      </c>
      <c r="S11">
        <f>IF([@Aanvullingsrechtig]="Ja",[@Beginsaldo]*[@Aanvulling_pu],0)</f>
        <v/>
      </c>
      <c r="T11">
        <f>IF(AND([@Opbouwjaar]&lt;&gt;"",[@Beginsaldo]&lt;&gt;0,OR([@Aanvullingsrechtig]="Ja",[@Aanvullingsrechtig]="Nee")),1,0)</f>
        <v/>
      </c>
    </row>
    <row r="12">
      <c r="O12">
        <f>LET(t,[@[Type verlof]],s,SEQUENCE(MAX(1,LEN(t)-3)),k,IFERROR(--MID(t,s,4),0),g,FILTER(k,(k&gt;=2000)*(k&lt;=2100),""),IFERROR(INDEX(g,1),""))</f>
        <v/>
      </c>
      <c r="P12">
        <f>LET(t,[@[Type verlof]],jj,[@Opbouwjaar],s,IF(jj="",t,SUBSTITUTE(t," "&amp;jj,"")),TRIM(s))</f>
        <v/>
      </c>
      <c r="Q12">
        <f>IF([@[Type verlof]]="","",IFERROR(XLOOKUP([@Basis_type],tblInstellingen[Basis verloftype],tblInstellingen[Aanvullingsrechtig]),"ONBEKEND"))</f>
        <v/>
      </c>
      <c r="R12">
        <f>IF(OR([@Opbouwjaar]="",[@[Type verlof]]=""),0,IFERROR(INDEX(FILTER(tblAanvulling[Totaalbedrag],(tblAanvulling[Mdw.]=[@[Mdw.]])*(tblAanvulling[Bkjr.]=[@Opbouwjaar]),0),1),0))</f>
        <v/>
      </c>
      <c r="S12">
        <f>IF([@Aanvullingsrechtig]="Ja",[@Beginsaldo]*[@Aanvulling_pu],0)</f>
        <v/>
      </c>
      <c r="T12">
        <f>IF(AND([@Opbouwjaar]&lt;&gt;"",[@Beginsaldo]&lt;&gt;0,OR([@Aanvullingsrechtig]="Ja",[@Aanvullingsrechtig]="Nee")),1,0)</f>
        <v/>
      </c>
    </row>
    <row r="13">
      <c r="O13">
        <f>LET(t,[@[Type verlof]],s,SEQUENCE(MAX(1,LEN(t)-3)),k,IFERROR(--MID(t,s,4),0),g,FILTER(k,(k&gt;=2000)*(k&lt;=2100),""),IFERROR(INDEX(g,1),""))</f>
        <v/>
      </c>
      <c r="P13">
        <f>LET(t,[@[Type verlof]],jj,[@Opbouwjaar],s,IF(jj="",t,SUBSTITUTE(t," "&amp;jj,"")),TRIM(s))</f>
        <v/>
      </c>
      <c r="Q13">
        <f>IF([@[Type verlof]]="","",IFERROR(XLOOKUP([@Basis_type],tblInstellingen[Basis verloftype],tblInstellingen[Aanvullingsrechtig]),"ONBEKEND"))</f>
        <v/>
      </c>
      <c r="R13">
        <f>IF(OR([@Opbouwjaar]="",[@[Type verlof]]=""),0,IFERROR(INDEX(FILTER(tblAanvulling[Totaalbedrag],(tblAanvulling[Mdw.]=[@[Mdw.]])*(tblAanvulling[Bkjr.]=[@Opbouwjaar]),0),1),0))</f>
        <v/>
      </c>
      <c r="S13">
        <f>IF([@Aanvullingsrechtig]="Ja",[@Beginsaldo]*[@Aanvulling_pu],0)</f>
        <v/>
      </c>
      <c r="T13">
        <f>IF(AND([@Opbouwjaar]&lt;&gt;"",[@Beginsaldo]&lt;&gt;0,OR([@Aanvullingsrechtig]="Ja",[@Aanvullingsrechtig]="Nee")),1,0)</f>
        <v/>
      </c>
    </row>
    <row r="14">
      <c r="O14">
        <f>LET(t,[@[Type verlof]],s,SEQUENCE(MAX(1,LEN(t)-3)),k,IFERROR(--MID(t,s,4),0),g,FILTER(k,(k&gt;=2000)*(k&lt;=2100),""),IFERROR(INDEX(g,1),""))</f>
        <v/>
      </c>
      <c r="P14">
        <f>LET(t,[@[Type verlof]],jj,[@Opbouwjaar],s,IF(jj="",t,SUBSTITUTE(t," "&amp;jj,"")),TRIM(s))</f>
        <v/>
      </c>
      <c r="Q14">
        <f>IF([@[Type verlof]]="","",IFERROR(XLOOKUP([@Basis_type],tblInstellingen[Basis verloftype],tblInstellingen[Aanvullingsrechtig]),"ONBEKEND"))</f>
        <v/>
      </c>
      <c r="R14">
        <f>IF(OR([@Opbouwjaar]="",[@[Type verlof]]=""),0,IFERROR(INDEX(FILTER(tblAanvulling[Totaalbedrag],(tblAanvulling[Mdw.]=[@[Mdw.]])*(tblAanvulling[Bkjr.]=[@Opbouwjaar]),0),1),0))</f>
        <v/>
      </c>
      <c r="S14">
        <f>IF([@Aanvullingsrechtig]="Ja",[@Beginsaldo]*[@Aanvulling_pu],0)</f>
        <v/>
      </c>
      <c r="T14">
        <f>IF(AND([@Opbouwjaar]&lt;&gt;"",[@Beginsaldo]&lt;&gt;0,OR([@Aanvullingsrechtig]="Ja",[@Aanvullingsrechtig]="Nee")),1,0)</f>
        <v/>
      </c>
    </row>
    <row r="15">
      <c r="O15">
        <f>LET(t,[@[Type verlof]],s,SEQUENCE(MAX(1,LEN(t)-3)),k,IFERROR(--MID(t,s,4),0),g,FILTER(k,(k&gt;=2000)*(k&lt;=2100),""),IFERROR(INDEX(g,1),""))</f>
        <v/>
      </c>
      <c r="P15">
        <f>LET(t,[@[Type verlof]],jj,[@Opbouwjaar],s,IF(jj="",t,SUBSTITUTE(t," "&amp;jj,"")),TRIM(s))</f>
        <v/>
      </c>
      <c r="Q15">
        <f>IF([@[Type verlof]]="","",IFERROR(XLOOKUP([@Basis_type],tblInstellingen[Basis verloftype],tblInstellingen[Aanvullingsrechtig]),"ONBEKEND"))</f>
        <v/>
      </c>
      <c r="R15">
        <f>IF(OR([@Opbouwjaar]="",[@[Type verlof]]=""),0,IFERROR(INDEX(FILTER(tblAanvulling[Totaalbedrag],(tblAanvulling[Mdw.]=[@[Mdw.]])*(tblAanvulling[Bkjr.]=[@Opbouwjaar]),0),1),0))</f>
        <v/>
      </c>
      <c r="S15">
        <f>IF([@Aanvullingsrechtig]="Ja",[@Beginsaldo]*[@Aanvulling_pu],0)</f>
        <v/>
      </c>
      <c r="T15">
        <f>IF(AND([@Opbouwjaar]&lt;&gt;"",[@Beginsaldo]&lt;&gt;0,OR([@Aanvullingsrechtig]="Ja",[@Aanvullingsrechtig]="Nee")),1,0)</f>
        <v/>
      </c>
    </row>
    <row r="16">
      <c r="O16">
        <f>LET(t,[@[Type verlof]],s,SEQUENCE(MAX(1,LEN(t)-3)),k,IFERROR(--MID(t,s,4),0),g,FILTER(k,(k&gt;=2000)*(k&lt;=2100),""),IFERROR(INDEX(g,1),""))</f>
        <v/>
      </c>
      <c r="P16">
        <f>LET(t,[@[Type verlof]],jj,[@Opbouwjaar],s,IF(jj="",t,SUBSTITUTE(t," "&amp;jj,"")),TRIM(s))</f>
        <v/>
      </c>
      <c r="Q16">
        <f>IF([@[Type verlof]]="","",IFERROR(XLOOKUP([@Basis_type],tblInstellingen[Basis verloftype],tblInstellingen[Aanvullingsrechtig]),"ONBEKEND"))</f>
        <v/>
      </c>
      <c r="R16">
        <f>IF(OR([@Opbouwjaar]="",[@[Type verlof]]=""),0,IFERROR(INDEX(FILTER(tblAanvulling[Totaalbedrag],(tblAanvulling[Mdw.]=[@[Mdw.]])*(tblAanvulling[Bkjr.]=[@Opbouwjaar]),0),1),0))</f>
        <v/>
      </c>
      <c r="S16">
        <f>IF([@Aanvullingsrechtig]="Ja",[@Beginsaldo]*[@Aanvulling_pu],0)</f>
        <v/>
      </c>
      <c r="T16">
        <f>IF(AND([@Opbouwjaar]&lt;&gt;"",[@Beginsaldo]&lt;&gt;0,OR([@Aanvullingsrechtig]="Ja",[@Aanvullingsrechtig]="Nee")),1,0)</f>
        <v/>
      </c>
    </row>
    <row r="17">
      <c r="O17">
        <f>LET(t,[@[Type verlof]],s,SEQUENCE(MAX(1,LEN(t)-3)),k,IFERROR(--MID(t,s,4),0),g,FILTER(k,(k&gt;=2000)*(k&lt;=2100),""),IFERROR(INDEX(g,1),""))</f>
        <v/>
      </c>
      <c r="P17">
        <f>LET(t,[@[Type verlof]],jj,[@Opbouwjaar],s,IF(jj="",t,SUBSTITUTE(t," "&amp;jj,"")),TRIM(s))</f>
        <v/>
      </c>
      <c r="Q17">
        <f>IF([@[Type verlof]]="","",IFERROR(XLOOKUP([@Basis_type],tblInstellingen[Basis verloftype],tblInstellingen[Aanvullingsrechtig]),"ONBEKEND"))</f>
        <v/>
      </c>
      <c r="R17">
        <f>IF(OR([@Opbouwjaar]="",[@[Type verlof]]=""),0,IFERROR(INDEX(FILTER(tblAanvulling[Totaalbedrag],(tblAanvulling[Mdw.]=[@[Mdw.]])*(tblAanvulling[Bkjr.]=[@Opbouwjaar]),0),1),0))</f>
        <v/>
      </c>
      <c r="S17">
        <f>IF([@Aanvullingsrechtig]="Ja",[@Beginsaldo]*[@Aanvulling_pu],0)</f>
        <v/>
      </c>
      <c r="T17">
        <f>IF(AND([@Opbouwjaar]&lt;&gt;"",[@Beginsaldo]&lt;&gt;0,OR([@Aanvullingsrechtig]="Ja",[@Aanvullingsrechtig]="Nee")),1,0)</f>
        <v/>
      </c>
    </row>
    <row r="18">
      <c r="O18">
        <f>LET(t,[@[Type verlof]],s,SEQUENCE(MAX(1,LEN(t)-3)),k,IFERROR(--MID(t,s,4),0),g,FILTER(k,(k&gt;=2000)*(k&lt;=2100),""),IFERROR(INDEX(g,1),""))</f>
        <v/>
      </c>
      <c r="P18">
        <f>LET(t,[@[Type verlof]],jj,[@Opbouwjaar],s,IF(jj="",t,SUBSTITUTE(t," "&amp;jj,"")),TRIM(s))</f>
        <v/>
      </c>
      <c r="Q18">
        <f>IF([@[Type verlof]]="","",IFERROR(XLOOKUP([@Basis_type],tblInstellingen[Basis verloftype],tblInstellingen[Aanvullingsrechtig]),"ONBEKEND"))</f>
        <v/>
      </c>
      <c r="R18">
        <f>IF(OR([@Opbouwjaar]="",[@[Type verlof]]=""),0,IFERROR(INDEX(FILTER(tblAanvulling[Totaalbedrag],(tblAanvulling[Mdw.]=[@[Mdw.]])*(tblAanvulling[Bkjr.]=[@Opbouwjaar]),0),1),0))</f>
        <v/>
      </c>
      <c r="S18">
        <f>IF([@Aanvullingsrechtig]="Ja",[@Beginsaldo]*[@Aanvulling_pu],0)</f>
        <v/>
      </c>
      <c r="T18">
        <f>IF(AND([@Opbouwjaar]&lt;&gt;"",[@Beginsaldo]&lt;&gt;0,OR([@Aanvullingsrechtig]="Ja",[@Aanvullingsrechtig]="Nee")),1,0)</f>
        <v/>
      </c>
    </row>
    <row r="19">
      <c r="O19">
        <f>LET(t,[@[Type verlof]],s,SEQUENCE(MAX(1,LEN(t)-3)),k,IFERROR(--MID(t,s,4),0),g,FILTER(k,(k&gt;=2000)*(k&lt;=2100),""),IFERROR(INDEX(g,1),""))</f>
        <v/>
      </c>
      <c r="P19">
        <f>LET(t,[@[Type verlof]],jj,[@Opbouwjaar],s,IF(jj="",t,SUBSTITUTE(t," "&amp;jj,"")),TRIM(s))</f>
        <v/>
      </c>
      <c r="Q19">
        <f>IF([@[Type verlof]]="","",IFERROR(XLOOKUP([@Basis_type],tblInstellingen[Basis verloftype],tblInstellingen[Aanvullingsrechtig]),"ONBEKEND"))</f>
        <v/>
      </c>
      <c r="R19">
        <f>IF(OR([@Opbouwjaar]="",[@[Type verlof]]=""),0,IFERROR(INDEX(FILTER(tblAanvulling[Totaalbedrag],(tblAanvulling[Mdw.]=[@[Mdw.]])*(tblAanvulling[Bkjr.]=[@Opbouwjaar]),0),1),0))</f>
        <v/>
      </c>
      <c r="S19">
        <f>IF([@Aanvullingsrechtig]="Ja",[@Beginsaldo]*[@Aanvulling_pu],0)</f>
        <v/>
      </c>
      <c r="T19">
        <f>IF(AND([@Opbouwjaar]&lt;&gt;"",[@Beginsaldo]&lt;&gt;0,OR([@Aanvullingsrechtig]="Ja",[@Aanvullingsrechtig]="Nee")),1,0)</f>
        <v/>
      </c>
    </row>
    <row r="20">
      <c r="O20">
        <f>LET(t,[@[Type verlof]],s,SEQUENCE(MAX(1,LEN(t)-3)),k,IFERROR(--MID(t,s,4),0),g,FILTER(k,(k&gt;=2000)*(k&lt;=2100),""),IFERROR(INDEX(g,1),""))</f>
        <v/>
      </c>
      <c r="P20">
        <f>LET(t,[@[Type verlof]],jj,[@Opbouwjaar],s,IF(jj="",t,SUBSTITUTE(t," "&amp;jj,"")),TRIM(s))</f>
        <v/>
      </c>
      <c r="Q20">
        <f>IF([@[Type verlof]]="","",IFERROR(XLOOKUP([@Basis_type],tblInstellingen[Basis verloftype],tblInstellingen[Aanvullingsrechtig]),"ONBEKEND"))</f>
        <v/>
      </c>
      <c r="R20">
        <f>IF(OR([@Opbouwjaar]="",[@[Type verlof]]=""),0,IFERROR(INDEX(FILTER(tblAanvulling[Totaalbedrag],(tblAanvulling[Mdw.]=[@[Mdw.]])*(tblAanvulling[Bkjr.]=[@Opbouwjaar]),0),1),0))</f>
        <v/>
      </c>
      <c r="S20">
        <f>IF([@Aanvullingsrechtig]="Ja",[@Beginsaldo]*[@Aanvulling_pu],0)</f>
        <v/>
      </c>
      <c r="T20">
        <f>IF(AND([@Opbouwjaar]&lt;&gt;"",[@Beginsaldo]&lt;&gt;0,OR([@Aanvullingsrechtig]="Ja",[@Aanvullingsrechtig]="Nee")),1,0)</f>
        <v/>
      </c>
    </row>
    <row r="21">
      <c r="O21">
        <f>LET(t,[@[Type verlof]],s,SEQUENCE(MAX(1,LEN(t)-3)),k,IFERROR(--MID(t,s,4),0),g,FILTER(k,(k&gt;=2000)*(k&lt;=2100),""),IFERROR(INDEX(g,1),""))</f>
        <v/>
      </c>
      <c r="P21">
        <f>LET(t,[@[Type verlof]],jj,[@Opbouwjaar],s,IF(jj="",t,SUBSTITUTE(t," "&amp;jj,"")),TRIM(s))</f>
        <v/>
      </c>
      <c r="Q21">
        <f>IF([@[Type verlof]]="","",IFERROR(XLOOKUP([@Basis_type],tblInstellingen[Basis verloftype],tblInstellingen[Aanvullingsrechtig]),"ONBEKEND"))</f>
        <v/>
      </c>
      <c r="R21">
        <f>IF(OR([@Opbouwjaar]="",[@[Type verlof]]=""),0,IFERROR(INDEX(FILTER(tblAanvulling[Totaalbedrag],(tblAanvulling[Mdw.]=[@[Mdw.]])*(tblAanvulling[Bkjr.]=[@Opbouwjaar]),0),1),0))</f>
        <v/>
      </c>
      <c r="S21">
        <f>IF([@Aanvullingsrechtig]="Ja",[@Beginsaldo]*[@Aanvulling_pu],0)</f>
        <v/>
      </c>
      <c r="T21">
        <f>IF(AND([@Opbouwjaar]&lt;&gt;"",[@Beginsaldo]&lt;&gt;0,OR([@Aanvullingsrechtig]="Ja",[@Aanvullingsrechtig]="Nee")),1,0)</f>
        <v/>
      </c>
    </row>
    <row r="22">
      <c r="O22">
        <f>LET(t,[@[Type verlof]],s,SEQUENCE(MAX(1,LEN(t)-3)),k,IFERROR(--MID(t,s,4),0),g,FILTER(k,(k&gt;=2000)*(k&lt;=2100),""),IFERROR(INDEX(g,1),""))</f>
        <v/>
      </c>
      <c r="P22">
        <f>LET(t,[@[Type verlof]],jj,[@Opbouwjaar],s,IF(jj="",t,SUBSTITUTE(t," "&amp;jj,"")),TRIM(s))</f>
        <v/>
      </c>
      <c r="Q22">
        <f>IF([@[Type verlof]]="","",IFERROR(XLOOKUP([@Basis_type],tblInstellingen[Basis verloftype],tblInstellingen[Aanvullingsrechtig]),"ONBEKEND"))</f>
        <v/>
      </c>
      <c r="R22">
        <f>IF(OR([@Opbouwjaar]="",[@[Type verlof]]=""),0,IFERROR(INDEX(FILTER(tblAanvulling[Totaalbedrag],(tblAanvulling[Mdw.]=[@[Mdw.]])*(tblAanvulling[Bkjr.]=[@Opbouwjaar]),0),1),0))</f>
        <v/>
      </c>
      <c r="S22">
        <f>IF([@Aanvullingsrechtig]="Ja",[@Beginsaldo]*[@Aanvulling_pu],0)</f>
        <v/>
      </c>
      <c r="T22">
        <f>IF(AND([@Opbouwjaar]&lt;&gt;"",[@Beginsaldo]&lt;&gt;0,OR([@Aanvullingsrechtig]="Ja",[@Aanvullingsrechtig]="Nee")),1,0)</f>
        <v/>
      </c>
    </row>
    <row r="23">
      <c r="O23">
        <f>LET(t,[@[Type verlof]],s,SEQUENCE(MAX(1,LEN(t)-3)),k,IFERROR(--MID(t,s,4),0),g,FILTER(k,(k&gt;=2000)*(k&lt;=2100),""),IFERROR(INDEX(g,1),""))</f>
        <v/>
      </c>
      <c r="P23">
        <f>LET(t,[@[Type verlof]],jj,[@Opbouwjaar],s,IF(jj="",t,SUBSTITUTE(t," "&amp;jj,"")),TRIM(s))</f>
        <v/>
      </c>
      <c r="Q23">
        <f>IF([@[Type verlof]]="","",IFERROR(XLOOKUP([@Basis_type],tblInstellingen[Basis verloftype],tblInstellingen[Aanvullingsrechtig]),"ONBEKEND"))</f>
        <v/>
      </c>
      <c r="R23">
        <f>IF(OR([@Opbouwjaar]="",[@[Type verlof]]=""),0,IFERROR(INDEX(FILTER(tblAanvulling[Totaalbedrag],(tblAanvulling[Mdw.]=[@[Mdw.]])*(tblAanvulling[Bkjr.]=[@Opbouwjaar]),0),1),0))</f>
        <v/>
      </c>
      <c r="S23">
        <f>IF([@Aanvullingsrechtig]="Ja",[@Beginsaldo]*[@Aanvulling_pu],0)</f>
        <v/>
      </c>
      <c r="T23">
        <f>IF(AND([@Opbouwjaar]&lt;&gt;"",[@Beginsaldo]&lt;&gt;0,OR([@Aanvullingsrechtig]="Ja",[@Aanvullingsrechtig]="Nee")),1,0)</f>
        <v/>
      </c>
    </row>
    <row r="24">
      <c r="O24">
        <f>LET(t,[@[Type verlof]],s,SEQUENCE(MAX(1,LEN(t)-3)),k,IFERROR(--MID(t,s,4),0),g,FILTER(k,(k&gt;=2000)*(k&lt;=2100),""),IFERROR(INDEX(g,1),""))</f>
        <v/>
      </c>
      <c r="P24">
        <f>LET(t,[@[Type verlof]],jj,[@Opbouwjaar],s,IF(jj="",t,SUBSTITUTE(t," "&amp;jj,"")),TRIM(s))</f>
        <v/>
      </c>
      <c r="Q24">
        <f>IF([@[Type verlof]]="","",IFERROR(XLOOKUP([@Basis_type],tblInstellingen[Basis verloftype],tblInstellingen[Aanvullingsrechtig]),"ONBEKEND"))</f>
        <v/>
      </c>
      <c r="R24">
        <f>IF(OR([@Opbouwjaar]="",[@[Type verlof]]=""),0,IFERROR(INDEX(FILTER(tblAanvulling[Totaalbedrag],(tblAanvulling[Mdw.]=[@[Mdw.]])*(tblAanvulling[Bkjr.]=[@Opbouwjaar]),0),1),0))</f>
        <v/>
      </c>
      <c r="S24">
        <f>IF([@Aanvullingsrechtig]="Ja",[@Beginsaldo]*[@Aanvulling_pu],0)</f>
        <v/>
      </c>
      <c r="T24">
        <f>IF(AND([@Opbouwjaar]&lt;&gt;"",[@Beginsaldo]&lt;&gt;0,OR([@Aanvullingsrechtig]="Ja",[@Aanvullingsrechtig]="Nee")),1,0)</f>
        <v/>
      </c>
    </row>
    <row r="25">
      <c r="O25">
        <f>LET(t,[@[Type verlof]],s,SEQUENCE(MAX(1,LEN(t)-3)),k,IFERROR(--MID(t,s,4),0),g,FILTER(k,(k&gt;=2000)*(k&lt;=2100),""),IFERROR(INDEX(g,1),""))</f>
        <v/>
      </c>
      <c r="P25">
        <f>LET(t,[@[Type verlof]],jj,[@Opbouwjaar],s,IF(jj="",t,SUBSTITUTE(t," "&amp;jj,"")),TRIM(s))</f>
        <v/>
      </c>
      <c r="Q25">
        <f>IF([@[Type verlof]]="","",IFERROR(XLOOKUP([@Basis_type],tblInstellingen[Basis verloftype],tblInstellingen[Aanvullingsrechtig]),"ONBEKEND"))</f>
        <v/>
      </c>
      <c r="R25">
        <f>IF(OR([@Opbouwjaar]="",[@[Type verlof]]=""),0,IFERROR(INDEX(FILTER(tblAanvulling[Totaalbedrag],(tblAanvulling[Mdw.]=[@[Mdw.]])*(tblAanvulling[Bkjr.]=[@Opbouwjaar]),0),1),0))</f>
        <v/>
      </c>
      <c r="S25">
        <f>IF([@Aanvullingsrechtig]="Ja",[@Beginsaldo]*[@Aanvulling_pu],0)</f>
        <v/>
      </c>
      <c r="T25">
        <f>IF(AND([@Opbouwjaar]&lt;&gt;"",[@Beginsaldo]&lt;&gt;0,OR([@Aanvullingsrechtig]="Ja",[@Aanvullingsrechtig]="Nee")),1,0)</f>
        <v/>
      </c>
    </row>
    <row r="26">
      <c r="O26">
        <f>LET(t,[@[Type verlof]],s,SEQUENCE(MAX(1,LEN(t)-3)),k,IFERROR(--MID(t,s,4),0),g,FILTER(k,(k&gt;=2000)*(k&lt;=2100),""),IFERROR(INDEX(g,1),""))</f>
        <v/>
      </c>
      <c r="P26">
        <f>LET(t,[@[Type verlof]],jj,[@Opbouwjaar],s,IF(jj="",t,SUBSTITUTE(t," "&amp;jj,"")),TRIM(s))</f>
        <v/>
      </c>
      <c r="Q26">
        <f>IF([@[Type verlof]]="","",IFERROR(XLOOKUP([@Basis_type],tblInstellingen[Basis verloftype],tblInstellingen[Aanvullingsrechtig]),"ONBEKEND"))</f>
        <v/>
      </c>
      <c r="R26">
        <f>IF(OR([@Opbouwjaar]="",[@[Type verlof]]=""),0,IFERROR(INDEX(FILTER(tblAanvulling[Totaalbedrag],(tblAanvulling[Mdw.]=[@[Mdw.]])*(tblAanvulling[Bkjr.]=[@Opbouwjaar]),0),1),0))</f>
        <v/>
      </c>
      <c r="S26">
        <f>IF([@Aanvullingsrechtig]="Ja",[@Beginsaldo]*[@Aanvulling_pu],0)</f>
        <v/>
      </c>
      <c r="T26">
        <f>IF(AND([@Opbouwjaar]&lt;&gt;"",[@Beginsaldo]&lt;&gt;0,OR([@Aanvullingsrechtig]="Ja",[@Aanvullingsrechtig]="Nee")),1,0)</f>
        <v/>
      </c>
    </row>
    <row r="27">
      <c r="O27">
        <f>LET(t,[@[Type verlof]],s,SEQUENCE(MAX(1,LEN(t)-3)),k,IFERROR(--MID(t,s,4),0),g,FILTER(k,(k&gt;=2000)*(k&lt;=2100),""),IFERROR(INDEX(g,1),""))</f>
        <v/>
      </c>
      <c r="P27">
        <f>LET(t,[@[Type verlof]],jj,[@Opbouwjaar],s,IF(jj="",t,SUBSTITUTE(t," "&amp;jj,"")),TRIM(s))</f>
        <v/>
      </c>
      <c r="Q27">
        <f>IF([@[Type verlof]]="","",IFERROR(XLOOKUP([@Basis_type],tblInstellingen[Basis verloftype],tblInstellingen[Aanvullingsrechtig]),"ONBEKEND"))</f>
        <v/>
      </c>
      <c r="R27">
        <f>IF(OR([@Opbouwjaar]="",[@[Type verlof]]=""),0,IFERROR(INDEX(FILTER(tblAanvulling[Totaalbedrag],(tblAanvulling[Mdw.]=[@[Mdw.]])*(tblAanvulling[Bkjr.]=[@Opbouwjaar]),0),1),0))</f>
        <v/>
      </c>
      <c r="S27">
        <f>IF([@Aanvullingsrechtig]="Ja",[@Beginsaldo]*[@Aanvulling_pu],0)</f>
        <v/>
      </c>
      <c r="T27">
        <f>IF(AND([@Opbouwjaar]&lt;&gt;"",[@Beginsaldo]&lt;&gt;0,OR([@Aanvullingsrechtig]="Ja",[@Aanvullingsrechtig]="Nee")),1,0)</f>
        <v/>
      </c>
    </row>
    <row r="28">
      <c r="O28">
        <f>LET(t,[@[Type verlof]],s,SEQUENCE(MAX(1,LEN(t)-3)),k,IFERROR(--MID(t,s,4),0),g,FILTER(k,(k&gt;=2000)*(k&lt;=2100),""),IFERROR(INDEX(g,1),""))</f>
        <v/>
      </c>
      <c r="P28">
        <f>LET(t,[@[Type verlof]],jj,[@Opbouwjaar],s,IF(jj="",t,SUBSTITUTE(t," "&amp;jj,"")),TRIM(s))</f>
        <v/>
      </c>
      <c r="Q28">
        <f>IF([@[Type verlof]]="","",IFERROR(XLOOKUP([@Basis_type],tblInstellingen[Basis verloftype],tblInstellingen[Aanvullingsrechtig]),"ONBEKEND"))</f>
        <v/>
      </c>
      <c r="R28">
        <f>IF(OR([@Opbouwjaar]="",[@[Type verlof]]=""),0,IFERROR(INDEX(FILTER(tblAanvulling[Totaalbedrag],(tblAanvulling[Mdw.]=[@[Mdw.]])*(tblAanvulling[Bkjr.]=[@Opbouwjaar]),0),1),0))</f>
        <v/>
      </c>
      <c r="S28">
        <f>IF([@Aanvullingsrechtig]="Ja",[@Beginsaldo]*[@Aanvulling_pu],0)</f>
        <v/>
      </c>
      <c r="T28">
        <f>IF(AND([@Opbouwjaar]&lt;&gt;"",[@Beginsaldo]&lt;&gt;0,OR([@Aanvullingsrechtig]="Ja",[@Aanvullingsrechtig]="Nee")),1,0)</f>
        <v/>
      </c>
    </row>
    <row r="29">
      <c r="O29">
        <f>LET(t,[@[Type verlof]],s,SEQUENCE(MAX(1,LEN(t)-3)),k,IFERROR(--MID(t,s,4),0),g,FILTER(k,(k&gt;=2000)*(k&lt;=2100),""),IFERROR(INDEX(g,1),""))</f>
        <v/>
      </c>
      <c r="P29">
        <f>LET(t,[@[Type verlof]],jj,[@Opbouwjaar],s,IF(jj="",t,SUBSTITUTE(t," "&amp;jj,"")),TRIM(s))</f>
        <v/>
      </c>
      <c r="Q29">
        <f>IF([@[Type verlof]]="","",IFERROR(XLOOKUP([@Basis_type],tblInstellingen[Basis verloftype],tblInstellingen[Aanvullingsrechtig]),"ONBEKEND"))</f>
        <v/>
      </c>
      <c r="R29">
        <f>IF(OR([@Opbouwjaar]="",[@[Type verlof]]=""),0,IFERROR(INDEX(FILTER(tblAanvulling[Totaalbedrag],(tblAanvulling[Mdw.]=[@[Mdw.]])*(tblAanvulling[Bkjr.]=[@Opbouwjaar]),0),1),0))</f>
        <v/>
      </c>
      <c r="S29">
        <f>IF([@Aanvullingsrechtig]="Ja",[@Beginsaldo]*[@Aanvulling_pu],0)</f>
        <v/>
      </c>
      <c r="T29">
        <f>IF(AND([@Opbouwjaar]&lt;&gt;"",[@Beginsaldo]&lt;&gt;0,OR([@Aanvullingsrechtig]="Ja",[@Aanvullingsrechtig]="Nee")),1,0)</f>
        <v/>
      </c>
    </row>
    <row r="30">
      <c r="O30">
        <f>LET(t,[@[Type verlof]],s,SEQUENCE(MAX(1,LEN(t)-3)),k,IFERROR(--MID(t,s,4),0),g,FILTER(k,(k&gt;=2000)*(k&lt;=2100),""),IFERROR(INDEX(g,1),""))</f>
        <v/>
      </c>
      <c r="P30">
        <f>LET(t,[@[Type verlof]],jj,[@Opbouwjaar],s,IF(jj="",t,SUBSTITUTE(t," "&amp;jj,"")),TRIM(s))</f>
        <v/>
      </c>
      <c r="Q30">
        <f>IF([@[Type verlof]]="","",IFERROR(XLOOKUP([@Basis_type],tblInstellingen[Basis verloftype],tblInstellingen[Aanvullingsrechtig]),"ONBEKEND"))</f>
        <v/>
      </c>
      <c r="R30">
        <f>IF(OR([@Opbouwjaar]="",[@[Type verlof]]=""),0,IFERROR(INDEX(FILTER(tblAanvulling[Totaalbedrag],(tblAanvulling[Mdw.]=[@[Mdw.]])*(tblAanvulling[Bkjr.]=[@Opbouwjaar]),0),1),0))</f>
        <v/>
      </c>
      <c r="S30">
        <f>IF([@Aanvullingsrechtig]="Ja",[@Beginsaldo]*[@Aanvulling_pu],0)</f>
        <v/>
      </c>
      <c r="T30">
        <f>IF(AND([@Opbouwjaar]&lt;&gt;"",[@Beginsaldo]&lt;&gt;0,OR([@Aanvullingsrechtig]="Ja",[@Aanvullingsrechtig]="Nee")),1,0)</f>
        <v/>
      </c>
    </row>
    <row r="31">
      <c r="O31">
        <f>LET(t,[@[Type verlof]],s,SEQUENCE(MAX(1,LEN(t)-3)),k,IFERROR(--MID(t,s,4),0),g,FILTER(k,(k&gt;=2000)*(k&lt;=2100),""),IFERROR(INDEX(g,1),""))</f>
        <v/>
      </c>
      <c r="P31">
        <f>LET(t,[@[Type verlof]],jj,[@Opbouwjaar],s,IF(jj="",t,SUBSTITUTE(t," "&amp;jj,"")),TRIM(s))</f>
        <v/>
      </c>
      <c r="Q31">
        <f>IF([@[Type verlof]]="","",IFERROR(XLOOKUP([@Basis_type],tblInstellingen[Basis verloftype],tblInstellingen[Aanvullingsrechtig]),"ONBEKEND"))</f>
        <v/>
      </c>
      <c r="R31">
        <f>IF(OR([@Opbouwjaar]="",[@[Type verlof]]=""),0,IFERROR(INDEX(FILTER(tblAanvulling[Totaalbedrag],(tblAanvulling[Mdw.]=[@[Mdw.]])*(tblAanvulling[Bkjr.]=[@Opbouwjaar]),0),1),0))</f>
        <v/>
      </c>
      <c r="S31">
        <f>IF([@Aanvullingsrechtig]="Ja",[@Beginsaldo]*[@Aanvulling_pu],0)</f>
        <v/>
      </c>
      <c r="T31">
        <f>IF(AND([@Opbouwjaar]&lt;&gt;"",[@Beginsaldo]&lt;&gt;0,OR([@Aanvullingsrechtig]="Ja",[@Aanvullingsrechtig]="Nee")),1,0)</f>
        <v/>
      </c>
    </row>
    <row r="32">
      <c r="O32">
        <f>LET(t,[@[Type verlof]],s,SEQUENCE(MAX(1,LEN(t)-3)),k,IFERROR(--MID(t,s,4),0),g,FILTER(k,(k&gt;=2000)*(k&lt;=2100),""),IFERROR(INDEX(g,1),""))</f>
        <v/>
      </c>
      <c r="P32">
        <f>LET(t,[@[Type verlof]],jj,[@Opbouwjaar],s,IF(jj="",t,SUBSTITUTE(t," "&amp;jj,"")),TRIM(s))</f>
        <v/>
      </c>
      <c r="Q32">
        <f>IF([@[Type verlof]]="","",IFERROR(XLOOKUP([@Basis_type],tblInstellingen[Basis verloftype],tblInstellingen[Aanvullingsrechtig]),"ONBEKEND"))</f>
        <v/>
      </c>
      <c r="R32">
        <f>IF(OR([@Opbouwjaar]="",[@[Type verlof]]=""),0,IFERROR(INDEX(FILTER(tblAanvulling[Totaalbedrag],(tblAanvulling[Mdw.]=[@[Mdw.]])*(tblAanvulling[Bkjr.]=[@Opbouwjaar]),0),1),0))</f>
        <v/>
      </c>
      <c r="S32">
        <f>IF([@Aanvullingsrechtig]="Ja",[@Beginsaldo]*[@Aanvulling_pu],0)</f>
        <v/>
      </c>
      <c r="T32">
        <f>IF(AND([@Opbouwjaar]&lt;&gt;"",[@Beginsaldo]&lt;&gt;0,OR([@Aanvullingsrechtig]="Ja",[@Aanvullingsrechtig]="Nee")),1,0)</f>
        <v/>
      </c>
    </row>
    <row r="33">
      <c r="O33">
        <f>LET(t,[@[Type verlof]],s,SEQUENCE(MAX(1,LEN(t)-3)),k,IFERROR(--MID(t,s,4),0),g,FILTER(k,(k&gt;=2000)*(k&lt;=2100),""),IFERROR(INDEX(g,1),""))</f>
        <v/>
      </c>
      <c r="P33">
        <f>LET(t,[@[Type verlof]],jj,[@Opbouwjaar],s,IF(jj="",t,SUBSTITUTE(t," "&amp;jj,"")),TRIM(s))</f>
        <v/>
      </c>
      <c r="Q33">
        <f>IF([@[Type verlof]]="","",IFERROR(XLOOKUP([@Basis_type],tblInstellingen[Basis verloftype],tblInstellingen[Aanvullingsrechtig]),"ONBEKEND"))</f>
        <v/>
      </c>
      <c r="R33">
        <f>IF(OR([@Opbouwjaar]="",[@[Type verlof]]=""),0,IFERROR(INDEX(FILTER(tblAanvulling[Totaalbedrag],(tblAanvulling[Mdw.]=[@[Mdw.]])*(tblAanvulling[Bkjr.]=[@Opbouwjaar]),0),1),0))</f>
        <v/>
      </c>
      <c r="S33">
        <f>IF([@Aanvullingsrechtig]="Ja",[@Beginsaldo]*[@Aanvulling_pu],0)</f>
        <v/>
      </c>
      <c r="T33">
        <f>IF(AND([@Opbouwjaar]&lt;&gt;"",[@Beginsaldo]&lt;&gt;0,OR([@Aanvullingsrechtig]="Ja",[@Aanvullingsrechtig]="Nee")),1,0)</f>
        <v/>
      </c>
    </row>
    <row r="34">
      <c r="O34">
        <f>LET(t,[@[Type verlof]],s,SEQUENCE(MAX(1,LEN(t)-3)),k,IFERROR(--MID(t,s,4),0),g,FILTER(k,(k&gt;=2000)*(k&lt;=2100),""),IFERROR(INDEX(g,1),""))</f>
        <v/>
      </c>
      <c r="P34">
        <f>LET(t,[@[Type verlof]],jj,[@Opbouwjaar],s,IF(jj="",t,SUBSTITUTE(t," "&amp;jj,"")),TRIM(s))</f>
        <v/>
      </c>
      <c r="Q34">
        <f>IF([@[Type verlof]]="","",IFERROR(XLOOKUP([@Basis_type],tblInstellingen[Basis verloftype],tblInstellingen[Aanvullingsrechtig]),"ONBEKEND"))</f>
        <v/>
      </c>
      <c r="R34">
        <f>IF(OR([@Opbouwjaar]="",[@[Type verlof]]=""),0,IFERROR(INDEX(FILTER(tblAanvulling[Totaalbedrag],(tblAanvulling[Mdw.]=[@[Mdw.]])*(tblAanvulling[Bkjr.]=[@Opbouwjaar]),0),1),0))</f>
        <v/>
      </c>
      <c r="S34">
        <f>IF([@Aanvullingsrechtig]="Ja",[@Beginsaldo]*[@Aanvulling_pu],0)</f>
        <v/>
      </c>
      <c r="T34">
        <f>IF(AND([@Opbouwjaar]&lt;&gt;"",[@Beginsaldo]&lt;&gt;0,OR([@Aanvullingsrechtig]="Ja",[@Aanvullingsrechtig]="Nee")),1,0)</f>
        <v/>
      </c>
    </row>
    <row r="35">
      <c r="O35">
        <f>LET(t,[@[Type verlof]],s,SEQUENCE(MAX(1,LEN(t)-3)),k,IFERROR(--MID(t,s,4),0),g,FILTER(k,(k&gt;=2000)*(k&lt;=2100),""),IFERROR(INDEX(g,1),""))</f>
        <v/>
      </c>
      <c r="P35">
        <f>LET(t,[@[Type verlof]],jj,[@Opbouwjaar],s,IF(jj="",t,SUBSTITUTE(t," "&amp;jj,"")),TRIM(s))</f>
        <v/>
      </c>
      <c r="Q35">
        <f>IF([@[Type verlof]]="","",IFERROR(XLOOKUP([@Basis_type],tblInstellingen[Basis verloftype],tblInstellingen[Aanvullingsrechtig]),"ONBEKEND"))</f>
        <v/>
      </c>
      <c r="R35">
        <f>IF(OR([@Opbouwjaar]="",[@[Type verlof]]=""),0,IFERROR(INDEX(FILTER(tblAanvulling[Totaalbedrag],(tblAanvulling[Mdw.]=[@[Mdw.]])*(tblAanvulling[Bkjr.]=[@Opbouwjaar]),0),1),0))</f>
        <v/>
      </c>
      <c r="S35">
        <f>IF([@Aanvullingsrechtig]="Ja",[@Beginsaldo]*[@Aanvulling_pu],0)</f>
        <v/>
      </c>
      <c r="T35">
        <f>IF(AND([@Opbouwjaar]&lt;&gt;"",[@Beginsaldo]&lt;&gt;0,OR([@Aanvullingsrechtig]="Ja",[@Aanvullingsrechtig]="Nee")),1,0)</f>
        <v/>
      </c>
    </row>
    <row r="36">
      <c r="O36">
        <f>LET(t,[@[Type verlof]],s,SEQUENCE(MAX(1,LEN(t)-3)),k,IFERROR(--MID(t,s,4),0),g,FILTER(k,(k&gt;=2000)*(k&lt;=2100),""),IFERROR(INDEX(g,1),""))</f>
        <v/>
      </c>
      <c r="P36">
        <f>LET(t,[@[Type verlof]],jj,[@Opbouwjaar],s,IF(jj="",t,SUBSTITUTE(t," "&amp;jj,"")),TRIM(s))</f>
        <v/>
      </c>
      <c r="Q36">
        <f>IF([@[Type verlof]]="","",IFERROR(XLOOKUP([@Basis_type],tblInstellingen[Basis verloftype],tblInstellingen[Aanvullingsrechtig]),"ONBEKEND"))</f>
        <v/>
      </c>
      <c r="R36">
        <f>IF(OR([@Opbouwjaar]="",[@[Type verlof]]=""),0,IFERROR(INDEX(FILTER(tblAanvulling[Totaalbedrag],(tblAanvulling[Mdw.]=[@[Mdw.]])*(tblAanvulling[Bkjr.]=[@Opbouwjaar]),0),1),0))</f>
        <v/>
      </c>
      <c r="S36">
        <f>IF([@Aanvullingsrechtig]="Ja",[@Beginsaldo]*[@Aanvulling_pu],0)</f>
        <v/>
      </c>
      <c r="T36">
        <f>IF(AND([@Opbouwjaar]&lt;&gt;"",[@Beginsaldo]&lt;&gt;0,OR([@Aanvullingsrechtig]="Ja",[@Aanvullingsrechtig]="Nee")),1,0)</f>
        <v/>
      </c>
    </row>
    <row r="37">
      <c r="O37">
        <f>LET(t,[@[Type verlof]],s,SEQUENCE(MAX(1,LEN(t)-3)),k,IFERROR(--MID(t,s,4),0),g,FILTER(k,(k&gt;=2000)*(k&lt;=2100),""),IFERROR(INDEX(g,1),""))</f>
        <v/>
      </c>
      <c r="P37">
        <f>LET(t,[@[Type verlof]],jj,[@Opbouwjaar],s,IF(jj="",t,SUBSTITUTE(t," "&amp;jj,"")),TRIM(s))</f>
        <v/>
      </c>
      <c r="Q37">
        <f>IF([@[Type verlof]]="","",IFERROR(XLOOKUP([@Basis_type],tblInstellingen[Basis verloftype],tblInstellingen[Aanvullingsrechtig]),"ONBEKEND"))</f>
        <v/>
      </c>
      <c r="R37">
        <f>IF(OR([@Opbouwjaar]="",[@[Type verlof]]=""),0,IFERROR(INDEX(FILTER(tblAanvulling[Totaalbedrag],(tblAanvulling[Mdw.]=[@[Mdw.]])*(tblAanvulling[Bkjr.]=[@Opbouwjaar]),0),1),0))</f>
        <v/>
      </c>
      <c r="S37">
        <f>IF([@Aanvullingsrechtig]="Ja",[@Beginsaldo]*[@Aanvulling_pu],0)</f>
        <v/>
      </c>
      <c r="T37">
        <f>IF(AND([@Opbouwjaar]&lt;&gt;"",[@Beginsaldo]&lt;&gt;0,OR([@Aanvullingsrechtig]="Ja",[@Aanvullingsrechtig]="Nee")),1,0)</f>
        <v/>
      </c>
    </row>
    <row r="38">
      <c r="O38">
        <f>LET(t,[@[Type verlof]],s,SEQUENCE(MAX(1,LEN(t)-3)),k,IFERROR(--MID(t,s,4),0),g,FILTER(k,(k&gt;=2000)*(k&lt;=2100),""),IFERROR(INDEX(g,1),""))</f>
        <v/>
      </c>
      <c r="P38">
        <f>LET(t,[@[Type verlof]],jj,[@Opbouwjaar],s,IF(jj="",t,SUBSTITUTE(t," "&amp;jj,"")),TRIM(s))</f>
        <v/>
      </c>
      <c r="Q38">
        <f>IF([@[Type verlof]]="","",IFERROR(XLOOKUP([@Basis_type],tblInstellingen[Basis verloftype],tblInstellingen[Aanvullingsrechtig]),"ONBEKEND"))</f>
        <v/>
      </c>
      <c r="R38">
        <f>IF(OR([@Opbouwjaar]="",[@[Type verlof]]=""),0,IFERROR(INDEX(FILTER(tblAanvulling[Totaalbedrag],(tblAanvulling[Mdw.]=[@[Mdw.]])*(tblAanvulling[Bkjr.]=[@Opbouwjaar]),0),1),0))</f>
        <v/>
      </c>
      <c r="S38">
        <f>IF([@Aanvullingsrechtig]="Ja",[@Beginsaldo]*[@Aanvulling_pu],0)</f>
        <v/>
      </c>
      <c r="T38">
        <f>IF(AND([@Opbouwjaar]&lt;&gt;"",[@Beginsaldo]&lt;&gt;0,OR([@Aanvullingsrechtig]="Ja",[@Aanvullingsrechtig]="Nee")),1,0)</f>
        <v/>
      </c>
    </row>
    <row r="39">
      <c r="O39">
        <f>LET(t,[@[Type verlof]],s,SEQUENCE(MAX(1,LEN(t)-3)),k,IFERROR(--MID(t,s,4),0),g,FILTER(k,(k&gt;=2000)*(k&lt;=2100),""),IFERROR(INDEX(g,1),""))</f>
        <v/>
      </c>
      <c r="P39">
        <f>LET(t,[@[Type verlof]],jj,[@Opbouwjaar],s,IF(jj="",t,SUBSTITUTE(t," "&amp;jj,"")),TRIM(s))</f>
        <v/>
      </c>
      <c r="Q39">
        <f>IF([@[Type verlof]]="","",IFERROR(XLOOKUP([@Basis_type],tblInstellingen[Basis verloftype],tblInstellingen[Aanvullingsrechtig]),"ONBEKEND"))</f>
        <v/>
      </c>
      <c r="R39">
        <f>IF(OR([@Opbouwjaar]="",[@[Type verlof]]=""),0,IFERROR(INDEX(FILTER(tblAanvulling[Totaalbedrag],(tblAanvulling[Mdw.]=[@[Mdw.]])*(tblAanvulling[Bkjr.]=[@Opbouwjaar]),0),1),0))</f>
        <v/>
      </c>
      <c r="S39">
        <f>IF([@Aanvullingsrechtig]="Ja",[@Beginsaldo]*[@Aanvulling_pu],0)</f>
        <v/>
      </c>
      <c r="T39">
        <f>IF(AND([@Opbouwjaar]&lt;&gt;"",[@Beginsaldo]&lt;&gt;0,OR([@Aanvullingsrechtig]="Ja",[@Aanvullingsrechtig]="Nee")),1,0)</f>
        <v/>
      </c>
    </row>
    <row r="40">
      <c r="O40">
        <f>LET(t,[@[Type verlof]],s,SEQUENCE(MAX(1,LEN(t)-3)),k,IFERROR(--MID(t,s,4),0),g,FILTER(k,(k&gt;=2000)*(k&lt;=2100),""),IFERROR(INDEX(g,1),""))</f>
        <v/>
      </c>
      <c r="P40">
        <f>LET(t,[@[Type verlof]],jj,[@Opbouwjaar],s,IF(jj="",t,SUBSTITUTE(t," "&amp;jj,"")),TRIM(s))</f>
        <v/>
      </c>
      <c r="Q40">
        <f>IF([@[Type verlof]]="","",IFERROR(XLOOKUP([@Basis_type],tblInstellingen[Basis verloftype],tblInstellingen[Aanvullingsrechtig]),"ONBEKEND"))</f>
        <v/>
      </c>
      <c r="R40">
        <f>IF(OR([@Opbouwjaar]="",[@[Type verlof]]=""),0,IFERROR(INDEX(FILTER(tblAanvulling[Totaalbedrag],(tblAanvulling[Mdw.]=[@[Mdw.]])*(tblAanvulling[Bkjr.]=[@Opbouwjaar]),0),1),0))</f>
        <v/>
      </c>
      <c r="S40">
        <f>IF([@Aanvullingsrechtig]="Ja",[@Beginsaldo]*[@Aanvulling_pu],0)</f>
        <v/>
      </c>
      <c r="T40">
        <f>IF(AND([@Opbouwjaar]&lt;&gt;"",[@Beginsaldo]&lt;&gt;0,OR([@Aanvullingsrechtig]="Ja",[@Aanvullingsrechtig]="Nee")),1,0)</f>
        <v/>
      </c>
    </row>
    <row r="41">
      <c r="O41">
        <f>LET(t,[@[Type verlof]],s,SEQUENCE(MAX(1,LEN(t)-3)),k,IFERROR(--MID(t,s,4),0),g,FILTER(k,(k&gt;=2000)*(k&lt;=2100),""),IFERROR(INDEX(g,1),""))</f>
        <v/>
      </c>
      <c r="P41">
        <f>LET(t,[@[Type verlof]],jj,[@Opbouwjaar],s,IF(jj="",t,SUBSTITUTE(t," "&amp;jj,"")),TRIM(s))</f>
        <v/>
      </c>
      <c r="Q41">
        <f>IF([@[Type verlof]]="","",IFERROR(XLOOKUP([@Basis_type],tblInstellingen[Basis verloftype],tblInstellingen[Aanvullingsrechtig]),"ONBEKEND"))</f>
        <v/>
      </c>
      <c r="R41">
        <f>IF(OR([@Opbouwjaar]="",[@[Type verlof]]=""),0,IFERROR(INDEX(FILTER(tblAanvulling[Totaalbedrag],(tblAanvulling[Mdw.]=[@[Mdw.]])*(tblAanvulling[Bkjr.]=[@Opbouwjaar]),0),1),0))</f>
        <v/>
      </c>
      <c r="S41">
        <f>IF([@Aanvullingsrechtig]="Ja",[@Beginsaldo]*[@Aanvulling_pu],0)</f>
        <v/>
      </c>
      <c r="T41">
        <f>IF(AND([@Opbouwjaar]&lt;&gt;"",[@Beginsaldo]&lt;&gt;0,OR([@Aanvullingsrechtig]="Ja",[@Aanvullingsrechtig]="Nee")),1,0)</f>
        <v/>
      </c>
    </row>
    <row r="42">
      <c r="O42">
        <f>LET(t,[@[Type verlof]],s,SEQUENCE(MAX(1,LEN(t)-3)),k,IFERROR(--MID(t,s,4),0),g,FILTER(k,(k&gt;=2000)*(k&lt;=2100),""),IFERROR(INDEX(g,1),""))</f>
        <v/>
      </c>
      <c r="P42">
        <f>LET(t,[@[Type verlof]],jj,[@Opbouwjaar],s,IF(jj="",t,SUBSTITUTE(t," "&amp;jj,"")),TRIM(s))</f>
        <v/>
      </c>
      <c r="Q42">
        <f>IF([@[Type verlof]]="","",IFERROR(XLOOKUP([@Basis_type],tblInstellingen[Basis verloftype],tblInstellingen[Aanvullingsrechtig]),"ONBEKEND"))</f>
        <v/>
      </c>
      <c r="R42">
        <f>IF(OR([@Opbouwjaar]="",[@[Type verlof]]=""),0,IFERROR(INDEX(FILTER(tblAanvulling[Totaalbedrag],(tblAanvulling[Mdw.]=[@[Mdw.]])*(tblAanvulling[Bkjr.]=[@Opbouwjaar]),0),1),0))</f>
        <v/>
      </c>
      <c r="S42">
        <f>IF([@Aanvullingsrechtig]="Ja",[@Beginsaldo]*[@Aanvulling_pu],0)</f>
        <v/>
      </c>
      <c r="T42">
        <f>IF(AND([@Opbouwjaar]&lt;&gt;"",[@Beginsaldo]&lt;&gt;0,OR([@Aanvullingsrechtig]="Ja",[@Aanvullingsrechtig]="Nee")),1,0)</f>
        <v/>
      </c>
    </row>
    <row r="43">
      <c r="O43">
        <f>LET(t,[@[Type verlof]],s,SEQUENCE(MAX(1,LEN(t)-3)),k,IFERROR(--MID(t,s,4),0),g,FILTER(k,(k&gt;=2000)*(k&lt;=2100),""),IFERROR(INDEX(g,1),""))</f>
        <v/>
      </c>
      <c r="P43">
        <f>LET(t,[@[Type verlof]],jj,[@Opbouwjaar],s,IF(jj="",t,SUBSTITUTE(t," "&amp;jj,"")),TRIM(s))</f>
        <v/>
      </c>
      <c r="Q43">
        <f>IF([@[Type verlof]]="","",IFERROR(XLOOKUP([@Basis_type],tblInstellingen[Basis verloftype],tblInstellingen[Aanvullingsrechtig]),"ONBEKEND"))</f>
        <v/>
      </c>
      <c r="R43">
        <f>IF(OR([@Opbouwjaar]="",[@[Type verlof]]=""),0,IFERROR(INDEX(FILTER(tblAanvulling[Totaalbedrag],(tblAanvulling[Mdw.]=[@[Mdw.]])*(tblAanvulling[Bkjr.]=[@Opbouwjaar]),0),1),0))</f>
        <v/>
      </c>
      <c r="S43">
        <f>IF([@Aanvullingsrechtig]="Ja",[@Beginsaldo]*[@Aanvulling_pu],0)</f>
        <v/>
      </c>
      <c r="T43">
        <f>IF(AND([@Opbouwjaar]&lt;&gt;"",[@Beginsaldo]&lt;&gt;0,OR([@Aanvullingsrechtig]="Ja",[@Aanvullingsrechtig]="Nee")),1,0)</f>
        <v/>
      </c>
    </row>
    <row r="44">
      <c r="O44">
        <f>LET(t,[@[Type verlof]],s,SEQUENCE(MAX(1,LEN(t)-3)),k,IFERROR(--MID(t,s,4),0),g,FILTER(k,(k&gt;=2000)*(k&lt;=2100),""),IFERROR(INDEX(g,1),""))</f>
        <v/>
      </c>
      <c r="P44">
        <f>LET(t,[@[Type verlof]],jj,[@Opbouwjaar],s,IF(jj="",t,SUBSTITUTE(t," "&amp;jj,"")),TRIM(s))</f>
        <v/>
      </c>
      <c r="Q44">
        <f>IF([@[Type verlof]]="","",IFERROR(XLOOKUP([@Basis_type],tblInstellingen[Basis verloftype],tblInstellingen[Aanvullingsrechtig]),"ONBEKEND"))</f>
        <v/>
      </c>
      <c r="R44">
        <f>IF(OR([@Opbouwjaar]="",[@[Type verlof]]=""),0,IFERROR(INDEX(FILTER(tblAanvulling[Totaalbedrag],(tblAanvulling[Mdw.]=[@[Mdw.]])*(tblAanvulling[Bkjr.]=[@Opbouwjaar]),0),1),0))</f>
        <v/>
      </c>
      <c r="S44">
        <f>IF([@Aanvullingsrechtig]="Ja",[@Beginsaldo]*[@Aanvulling_pu],0)</f>
        <v/>
      </c>
      <c r="T44">
        <f>IF(AND([@Opbouwjaar]&lt;&gt;"",[@Beginsaldo]&lt;&gt;0,OR([@Aanvullingsrechtig]="Ja",[@Aanvullingsrechtig]="Nee")),1,0)</f>
        <v/>
      </c>
    </row>
    <row r="45">
      <c r="O45">
        <f>LET(t,[@[Type verlof]],s,SEQUENCE(MAX(1,LEN(t)-3)),k,IFERROR(--MID(t,s,4),0),g,FILTER(k,(k&gt;=2000)*(k&lt;=2100),""),IFERROR(INDEX(g,1),""))</f>
        <v/>
      </c>
      <c r="P45">
        <f>LET(t,[@[Type verlof]],jj,[@Opbouwjaar],s,IF(jj="",t,SUBSTITUTE(t," "&amp;jj,"")),TRIM(s))</f>
        <v/>
      </c>
      <c r="Q45">
        <f>IF([@[Type verlof]]="","",IFERROR(XLOOKUP([@Basis_type],tblInstellingen[Basis verloftype],tblInstellingen[Aanvullingsrechtig]),"ONBEKEND"))</f>
        <v/>
      </c>
      <c r="R45">
        <f>IF(OR([@Opbouwjaar]="",[@[Type verlof]]=""),0,IFERROR(INDEX(FILTER(tblAanvulling[Totaalbedrag],(tblAanvulling[Mdw.]=[@[Mdw.]])*(tblAanvulling[Bkjr.]=[@Opbouwjaar]),0),1),0))</f>
        <v/>
      </c>
      <c r="S45">
        <f>IF([@Aanvullingsrechtig]="Ja",[@Beginsaldo]*[@Aanvulling_pu],0)</f>
        <v/>
      </c>
      <c r="T45">
        <f>IF(AND([@Opbouwjaar]&lt;&gt;"",[@Beginsaldo]&lt;&gt;0,OR([@Aanvullingsrechtig]="Ja",[@Aanvullingsrechtig]="Nee")),1,0)</f>
        <v/>
      </c>
    </row>
    <row r="46">
      <c r="O46">
        <f>LET(t,[@[Type verlof]],s,SEQUENCE(MAX(1,LEN(t)-3)),k,IFERROR(--MID(t,s,4),0),g,FILTER(k,(k&gt;=2000)*(k&lt;=2100),""),IFERROR(INDEX(g,1),""))</f>
        <v/>
      </c>
      <c r="P46">
        <f>LET(t,[@[Type verlof]],jj,[@Opbouwjaar],s,IF(jj="",t,SUBSTITUTE(t," "&amp;jj,"")),TRIM(s))</f>
        <v/>
      </c>
      <c r="Q46">
        <f>IF([@[Type verlof]]="","",IFERROR(XLOOKUP([@Basis_type],tblInstellingen[Basis verloftype],tblInstellingen[Aanvullingsrechtig]),"ONBEKEND"))</f>
        <v/>
      </c>
      <c r="R46">
        <f>IF(OR([@Opbouwjaar]="",[@[Type verlof]]=""),0,IFERROR(INDEX(FILTER(tblAanvulling[Totaalbedrag],(tblAanvulling[Mdw.]=[@[Mdw.]])*(tblAanvulling[Bkjr.]=[@Opbouwjaar]),0),1),0))</f>
        <v/>
      </c>
      <c r="S46">
        <f>IF([@Aanvullingsrechtig]="Ja",[@Beginsaldo]*[@Aanvulling_pu],0)</f>
        <v/>
      </c>
      <c r="T46">
        <f>IF(AND([@Opbouwjaar]&lt;&gt;"",[@Beginsaldo]&lt;&gt;0,OR([@Aanvullingsrechtig]="Ja",[@Aanvullingsrechtig]="Nee")),1,0)</f>
        <v/>
      </c>
    </row>
    <row r="47">
      <c r="O47">
        <f>LET(t,[@[Type verlof]],s,SEQUENCE(MAX(1,LEN(t)-3)),k,IFERROR(--MID(t,s,4),0),g,FILTER(k,(k&gt;=2000)*(k&lt;=2100),""),IFERROR(INDEX(g,1),""))</f>
        <v/>
      </c>
      <c r="P47">
        <f>LET(t,[@[Type verlof]],jj,[@Opbouwjaar],s,IF(jj="",t,SUBSTITUTE(t," "&amp;jj,"")),TRIM(s))</f>
        <v/>
      </c>
      <c r="Q47">
        <f>IF([@[Type verlof]]="","",IFERROR(XLOOKUP([@Basis_type],tblInstellingen[Basis verloftype],tblInstellingen[Aanvullingsrechtig]),"ONBEKEND"))</f>
        <v/>
      </c>
      <c r="R47">
        <f>IF(OR([@Opbouwjaar]="",[@[Type verlof]]=""),0,IFERROR(INDEX(FILTER(tblAanvulling[Totaalbedrag],(tblAanvulling[Mdw.]=[@[Mdw.]])*(tblAanvulling[Bkjr.]=[@Opbouwjaar]),0),1),0))</f>
        <v/>
      </c>
      <c r="S47">
        <f>IF([@Aanvullingsrechtig]="Ja",[@Beginsaldo]*[@Aanvulling_pu],0)</f>
        <v/>
      </c>
      <c r="T47">
        <f>IF(AND([@Opbouwjaar]&lt;&gt;"",[@Beginsaldo]&lt;&gt;0,OR([@Aanvullingsrechtig]="Ja",[@Aanvullingsrechtig]="Nee")),1,0)</f>
        <v/>
      </c>
    </row>
    <row r="48">
      <c r="O48">
        <f>LET(t,[@[Type verlof]],s,SEQUENCE(MAX(1,LEN(t)-3)),k,IFERROR(--MID(t,s,4),0),g,FILTER(k,(k&gt;=2000)*(k&lt;=2100),""),IFERROR(INDEX(g,1),""))</f>
        <v/>
      </c>
      <c r="P48">
        <f>LET(t,[@[Type verlof]],jj,[@Opbouwjaar],s,IF(jj="",t,SUBSTITUTE(t," "&amp;jj,"")),TRIM(s))</f>
        <v/>
      </c>
      <c r="Q48">
        <f>IF([@[Type verlof]]="","",IFERROR(XLOOKUP([@Basis_type],tblInstellingen[Basis verloftype],tblInstellingen[Aanvullingsrechtig]),"ONBEKEND"))</f>
        <v/>
      </c>
      <c r="R48">
        <f>IF(OR([@Opbouwjaar]="",[@[Type verlof]]=""),0,IFERROR(INDEX(FILTER(tblAanvulling[Totaalbedrag],(tblAanvulling[Mdw.]=[@[Mdw.]])*(tblAanvulling[Bkjr.]=[@Opbouwjaar]),0),1),0))</f>
        <v/>
      </c>
      <c r="S48">
        <f>IF([@Aanvullingsrechtig]="Ja",[@Beginsaldo]*[@Aanvulling_pu],0)</f>
        <v/>
      </c>
      <c r="T48">
        <f>IF(AND([@Opbouwjaar]&lt;&gt;"",[@Beginsaldo]&lt;&gt;0,OR([@Aanvullingsrechtig]="Ja",[@Aanvullingsrechtig]="Nee")),1,0)</f>
        <v/>
      </c>
    </row>
    <row r="49">
      <c r="O49">
        <f>LET(t,[@[Type verlof]],s,SEQUENCE(MAX(1,LEN(t)-3)),k,IFERROR(--MID(t,s,4),0),g,FILTER(k,(k&gt;=2000)*(k&lt;=2100),""),IFERROR(INDEX(g,1),""))</f>
        <v/>
      </c>
      <c r="P49">
        <f>LET(t,[@[Type verlof]],jj,[@Opbouwjaar],s,IF(jj="",t,SUBSTITUTE(t," "&amp;jj,"")),TRIM(s))</f>
        <v/>
      </c>
      <c r="Q49">
        <f>IF([@[Type verlof]]="","",IFERROR(XLOOKUP([@Basis_type],tblInstellingen[Basis verloftype],tblInstellingen[Aanvullingsrechtig]),"ONBEKEND"))</f>
        <v/>
      </c>
      <c r="R49">
        <f>IF(OR([@Opbouwjaar]="",[@[Type verlof]]=""),0,IFERROR(INDEX(FILTER(tblAanvulling[Totaalbedrag],(tblAanvulling[Mdw.]=[@[Mdw.]])*(tblAanvulling[Bkjr.]=[@Opbouwjaar]),0),1),0))</f>
        <v/>
      </c>
      <c r="S49">
        <f>IF([@Aanvullingsrechtig]="Ja",[@Beginsaldo]*[@Aanvulling_pu],0)</f>
        <v/>
      </c>
      <c r="T49">
        <f>IF(AND([@Opbouwjaar]&lt;&gt;"",[@Beginsaldo]&lt;&gt;0,OR([@Aanvullingsrechtig]="Ja",[@Aanvullingsrechtig]="Nee")),1,0)</f>
        <v/>
      </c>
    </row>
    <row r="50">
      <c r="O50">
        <f>LET(t,[@[Type verlof]],s,SEQUENCE(MAX(1,LEN(t)-3)),k,IFERROR(--MID(t,s,4),0),g,FILTER(k,(k&gt;=2000)*(k&lt;=2100),""),IFERROR(INDEX(g,1),""))</f>
        <v/>
      </c>
      <c r="P50">
        <f>LET(t,[@[Type verlof]],jj,[@Opbouwjaar],s,IF(jj="",t,SUBSTITUTE(t," "&amp;jj,"")),TRIM(s))</f>
        <v/>
      </c>
      <c r="Q50">
        <f>IF([@[Type verlof]]="","",IFERROR(XLOOKUP([@Basis_type],tblInstellingen[Basis verloftype],tblInstellingen[Aanvullingsrechtig]),"ONBEKEND"))</f>
        <v/>
      </c>
      <c r="R50">
        <f>IF(OR([@Opbouwjaar]="",[@[Type verlof]]=""),0,IFERROR(INDEX(FILTER(tblAanvulling[Totaalbedrag],(tblAanvulling[Mdw.]=[@[Mdw.]])*(tblAanvulling[Bkjr.]=[@Opbouwjaar]),0),1),0))</f>
        <v/>
      </c>
      <c r="S50">
        <f>IF([@Aanvullingsrechtig]="Ja",[@Beginsaldo]*[@Aanvulling_pu],0)</f>
        <v/>
      </c>
      <c r="T50">
        <f>IF(AND([@Opbouwjaar]&lt;&gt;"",[@Beginsaldo]&lt;&gt;0,OR([@Aanvullingsrechtig]="Ja",[@Aanvullingsrechtig]="Nee")),1,0)</f>
        <v/>
      </c>
    </row>
    <row r="51">
      <c r="O51">
        <f>LET(t,[@[Type verlof]],s,SEQUENCE(MAX(1,LEN(t)-3)),k,IFERROR(--MID(t,s,4),0),g,FILTER(k,(k&gt;=2000)*(k&lt;=2100),""),IFERROR(INDEX(g,1),""))</f>
        <v/>
      </c>
      <c r="P51">
        <f>LET(t,[@[Type verlof]],jj,[@Opbouwjaar],s,IF(jj="",t,SUBSTITUTE(t," "&amp;jj,"")),TRIM(s))</f>
        <v/>
      </c>
      <c r="Q51">
        <f>IF([@[Type verlof]]="","",IFERROR(XLOOKUP([@Basis_type],tblInstellingen[Basis verloftype],tblInstellingen[Aanvullingsrechtig]),"ONBEKEND"))</f>
        <v/>
      </c>
      <c r="R51">
        <f>IF(OR([@Opbouwjaar]="",[@[Type verlof]]=""),0,IFERROR(INDEX(FILTER(tblAanvulling[Totaalbedrag],(tblAanvulling[Mdw.]=[@[Mdw.]])*(tblAanvulling[Bkjr.]=[@Opbouwjaar]),0),1),0))</f>
        <v/>
      </c>
      <c r="S51">
        <f>IF([@Aanvullingsrechtig]="Ja",[@Beginsaldo]*[@Aanvulling_pu],0)</f>
        <v/>
      </c>
      <c r="T51">
        <f>IF(AND([@Opbouwjaar]&lt;&gt;"",[@Beginsaldo]&lt;&gt;0,OR([@Aanvullingsrechtig]="Ja",[@Aanvullingsrechtig]="Nee")),1,0)</f>
        <v/>
      </c>
    </row>
    <row r="52">
      <c r="O52">
        <f>LET(t,[@[Type verlof]],s,SEQUENCE(MAX(1,LEN(t)-3)),k,IFERROR(--MID(t,s,4),0),g,FILTER(k,(k&gt;=2000)*(k&lt;=2100),""),IFERROR(INDEX(g,1),""))</f>
        <v/>
      </c>
      <c r="P52">
        <f>LET(t,[@[Type verlof]],jj,[@Opbouwjaar],s,IF(jj="",t,SUBSTITUTE(t," "&amp;jj,"")),TRIM(s))</f>
        <v/>
      </c>
      <c r="Q52">
        <f>IF([@[Type verlof]]="","",IFERROR(XLOOKUP([@Basis_type],tblInstellingen[Basis verloftype],tblInstellingen[Aanvullingsrechtig]),"ONBEKEND"))</f>
        <v/>
      </c>
      <c r="R52">
        <f>IF(OR([@Opbouwjaar]="",[@[Type verlof]]=""),0,IFERROR(INDEX(FILTER(tblAanvulling[Totaalbedrag],(tblAanvulling[Mdw.]=[@[Mdw.]])*(tblAanvulling[Bkjr.]=[@Opbouwjaar]),0),1),0))</f>
        <v/>
      </c>
      <c r="S52">
        <f>IF([@Aanvullingsrechtig]="Ja",[@Beginsaldo]*[@Aanvulling_pu],0)</f>
        <v/>
      </c>
      <c r="T52">
        <f>IF(AND([@Opbouwjaar]&lt;&gt;"",[@Beginsaldo]&lt;&gt;0,OR([@Aanvullingsrechtig]="Ja",[@Aanvullingsrechtig]="Nee")),1,0)</f>
        <v/>
      </c>
    </row>
    <row r="53">
      <c r="O53">
        <f>LET(t,[@[Type verlof]],s,SEQUENCE(MAX(1,LEN(t)-3)),k,IFERROR(--MID(t,s,4),0),g,FILTER(k,(k&gt;=2000)*(k&lt;=2100),""),IFERROR(INDEX(g,1),""))</f>
        <v/>
      </c>
      <c r="P53">
        <f>LET(t,[@[Type verlof]],jj,[@Opbouwjaar],s,IF(jj="",t,SUBSTITUTE(t," "&amp;jj,"")),TRIM(s))</f>
        <v/>
      </c>
      <c r="Q53">
        <f>IF([@[Type verlof]]="","",IFERROR(XLOOKUP([@Basis_type],tblInstellingen[Basis verloftype],tblInstellingen[Aanvullingsrechtig]),"ONBEKEND"))</f>
        <v/>
      </c>
      <c r="R53">
        <f>IF(OR([@Opbouwjaar]="",[@[Type verlof]]=""),0,IFERROR(INDEX(FILTER(tblAanvulling[Totaalbedrag],(tblAanvulling[Mdw.]=[@[Mdw.]])*(tblAanvulling[Bkjr.]=[@Opbouwjaar]),0),1),0))</f>
        <v/>
      </c>
      <c r="S53">
        <f>IF([@Aanvullingsrechtig]="Ja",[@Beginsaldo]*[@Aanvulling_pu],0)</f>
        <v/>
      </c>
      <c r="T53">
        <f>IF(AND([@Opbouwjaar]&lt;&gt;"",[@Beginsaldo]&lt;&gt;0,OR([@Aanvullingsrechtig]="Ja",[@Aanvullingsrechtig]="Nee")),1,0)</f>
        <v/>
      </c>
    </row>
    <row r="54">
      <c r="O54">
        <f>LET(t,[@[Type verlof]],s,SEQUENCE(MAX(1,LEN(t)-3)),k,IFERROR(--MID(t,s,4),0),g,FILTER(k,(k&gt;=2000)*(k&lt;=2100),""),IFERROR(INDEX(g,1),""))</f>
        <v/>
      </c>
      <c r="P54">
        <f>LET(t,[@[Type verlof]],jj,[@Opbouwjaar],s,IF(jj="",t,SUBSTITUTE(t," "&amp;jj,"")),TRIM(s))</f>
        <v/>
      </c>
      <c r="Q54">
        <f>IF([@[Type verlof]]="","",IFERROR(XLOOKUP([@Basis_type],tblInstellingen[Basis verloftype],tblInstellingen[Aanvullingsrechtig]),"ONBEKEND"))</f>
        <v/>
      </c>
      <c r="R54">
        <f>IF(OR([@Opbouwjaar]="",[@[Type verlof]]=""),0,IFERROR(INDEX(FILTER(tblAanvulling[Totaalbedrag],(tblAanvulling[Mdw.]=[@[Mdw.]])*(tblAanvulling[Bkjr.]=[@Opbouwjaar]),0),1),0))</f>
        <v/>
      </c>
      <c r="S54">
        <f>IF([@Aanvullingsrechtig]="Ja",[@Beginsaldo]*[@Aanvulling_pu],0)</f>
        <v/>
      </c>
      <c r="T54">
        <f>IF(AND([@Opbouwjaar]&lt;&gt;"",[@Beginsaldo]&lt;&gt;0,OR([@Aanvullingsrechtig]="Ja",[@Aanvullingsrechtig]="Nee")),1,0)</f>
        <v/>
      </c>
    </row>
    <row r="55">
      <c r="O55">
        <f>LET(t,[@[Type verlof]],s,SEQUENCE(MAX(1,LEN(t)-3)),k,IFERROR(--MID(t,s,4),0),g,FILTER(k,(k&gt;=2000)*(k&lt;=2100),""),IFERROR(INDEX(g,1),""))</f>
        <v/>
      </c>
      <c r="P55">
        <f>LET(t,[@[Type verlof]],jj,[@Opbouwjaar],s,IF(jj="",t,SUBSTITUTE(t," "&amp;jj,"")),TRIM(s))</f>
        <v/>
      </c>
      <c r="Q55">
        <f>IF([@[Type verlof]]="","",IFERROR(XLOOKUP([@Basis_type],tblInstellingen[Basis verloftype],tblInstellingen[Aanvullingsrechtig]),"ONBEKEND"))</f>
        <v/>
      </c>
      <c r="R55">
        <f>IF(OR([@Opbouwjaar]="",[@[Type verlof]]=""),0,IFERROR(INDEX(FILTER(tblAanvulling[Totaalbedrag],(tblAanvulling[Mdw.]=[@[Mdw.]])*(tblAanvulling[Bkjr.]=[@Opbouwjaar]),0),1),0))</f>
        <v/>
      </c>
      <c r="S55">
        <f>IF([@Aanvullingsrechtig]="Ja",[@Beginsaldo]*[@Aanvulling_pu],0)</f>
        <v/>
      </c>
      <c r="T55">
        <f>IF(AND([@Opbouwjaar]&lt;&gt;"",[@Beginsaldo]&lt;&gt;0,OR([@Aanvullingsrechtig]="Ja",[@Aanvullingsrechtig]="Nee")),1,0)</f>
        <v/>
      </c>
    </row>
    <row r="56">
      <c r="O56">
        <f>LET(t,[@[Type verlof]],s,SEQUENCE(MAX(1,LEN(t)-3)),k,IFERROR(--MID(t,s,4),0),g,FILTER(k,(k&gt;=2000)*(k&lt;=2100),""),IFERROR(INDEX(g,1),""))</f>
        <v/>
      </c>
      <c r="P56">
        <f>LET(t,[@[Type verlof]],jj,[@Opbouwjaar],s,IF(jj="",t,SUBSTITUTE(t," "&amp;jj,"")),TRIM(s))</f>
        <v/>
      </c>
      <c r="Q56">
        <f>IF([@[Type verlof]]="","",IFERROR(XLOOKUP([@Basis_type],tblInstellingen[Basis verloftype],tblInstellingen[Aanvullingsrechtig]),"ONBEKEND"))</f>
        <v/>
      </c>
      <c r="R56">
        <f>IF(OR([@Opbouwjaar]="",[@[Type verlof]]=""),0,IFERROR(INDEX(FILTER(tblAanvulling[Totaalbedrag],(tblAanvulling[Mdw.]=[@[Mdw.]])*(tblAanvulling[Bkjr.]=[@Opbouwjaar]),0),1),0))</f>
        <v/>
      </c>
      <c r="S56">
        <f>IF([@Aanvullingsrechtig]="Ja",[@Beginsaldo]*[@Aanvulling_pu],0)</f>
        <v/>
      </c>
      <c r="T56">
        <f>IF(AND([@Opbouwjaar]&lt;&gt;"",[@Beginsaldo]&lt;&gt;0,OR([@Aanvullingsrechtig]="Ja",[@Aanvullingsrechtig]="Nee")),1,0)</f>
        <v/>
      </c>
    </row>
    <row r="57">
      <c r="O57">
        <f>LET(t,[@[Type verlof]],s,SEQUENCE(MAX(1,LEN(t)-3)),k,IFERROR(--MID(t,s,4),0),g,FILTER(k,(k&gt;=2000)*(k&lt;=2100),""),IFERROR(INDEX(g,1),""))</f>
        <v/>
      </c>
      <c r="P57">
        <f>LET(t,[@[Type verlof]],jj,[@Opbouwjaar],s,IF(jj="",t,SUBSTITUTE(t," "&amp;jj,"")),TRIM(s))</f>
        <v/>
      </c>
      <c r="Q57">
        <f>IF([@[Type verlof]]="","",IFERROR(XLOOKUP([@Basis_type],tblInstellingen[Basis verloftype],tblInstellingen[Aanvullingsrechtig]),"ONBEKEND"))</f>
        <v/>
      </c>
      <c r="R57">
        <f>IF(OR([@Opbouwjaar]="",[@[Type verlof]]=""),0,IFERROR(INDEX(FILTER(tblAanvulling[Totaalbedrag],(tblAanvulling[Mdw.]=[@[Mdw.]])*(tblAanvulling[Bkjr.]=[@Opbouwjaar]),0),1),0))</f>
        <v/>
      </c>
      <c r="S57">
        <f>IF([@Aanvullingsrechtig]="Ja",[@Beginsaldo]*[@Aanvulling_pu],0)</f>
        <v/>
      </c>
      <c r="T57">
        <f>IF(AND([@Opbouwjaar]&lt;&gt;"",[@Beginsaldo]&lt;&gt;0,OR([@Aanvullingsrechtig]="Ja",[@Aanvullingsrechtig]="Nee")),1,0)</f>
        <v/>
      </c>
    </row>
    <row r="58">
      <c r="O58">
        <f>LET(t,[@[Type verlof]],s,SEQUENCE(MAX(1,LEN(t)-3)),k,IFERROR(--MID(t,s,4),0),g,FILTER(k,(k&gt;=2000)*(k&lt;=2100),""),IFERROR(INDEX(g,1),""))</f>
        <v/>
      </c>
      <c r="P58">
        <f>LET(t,[@[Type verlof]],jj,[@Opbouwjaar],s,IF(jj="",t,SUBSTITUTE(t," "&amp;jj,"")),TRIM(s))</f>
        <v/>
      </c>
      <c r="Q58">
        <f>IF([@[Type verlof]]="","",IFERROR(XLOOKUP([@Basis_type],tblInstellingen[Basis verloftype],tblInstellingen[Aanvullingsrechtig]),"ONBEKEND"))</f>
        <v/>
      </c>
      <c r="R58">
        <f>IF(OR([@Opbouwjaar]="",[@[Type verlof]]=""),0,IFERROR(INDEX(FILTER(tblAanvulling[Totaalbedrag],(tblAanvulling[Mdw.]=[@[Mdw.]])*(tblAanvulling[Bkjr.]=[@Opbouwjaar]),0),1),0))</f>
        <v/>
      </c>
      <c r="S58">
        <f>IF([@Aanvullingsrechtig]="Ja",[@Beginsaldo]*[@Aanvulling_pu],0)</f>
        <v/>
      </c>
      <c r="T58">
        <f>IF(AND([@Opbouwjaar]&lt;&gt;"",[@Beginsaldo]&lt;&gt;0,OR([@Aanvullingsrechtig]="Ja",[@Aanvullingsrechtig]="Nee")),1,0)</f>
        <v/>
      </c>
    </row>
    <row r="59">
      <c r="O59">
        <f>LET(t,[@[Type verlof]],s,SEQUENCE(MAX(1,LEN(t)-3)),k,IFERROR(--MID(t,s,4),0),g,FILTER(k,(k&gt;=2000)*(k&lt;=2100),""),IFERROR(INDEX(g,1),""))</f>
        <v/>
      </c>
      <c r="P59">
        <f>LET(t,[@[Type verlof]],jj,[@Opbouwjaar],s,IF(jj="",t,SUBSTITUTE(t," "&amp;jj,"")),TRIM(s))</f>
        <v/>
      </c>
      <c r="Q59">
        <f>IF([@[Type verlof]]="","",IFERROR(XLOOKUP([@Basis_type],tblInstellingen[Basis verloftype],tblInstellingen[Aanvullingsrechtig]),"ONBEKEND"))</f>
        <v/>
      </c>
      <c r="R59">
        <f>IF(OR([@Opbouwjaar]="",[@[Type verlof]]=""),0,IFERROR(INDEX(FILTER(tblAanvulling[Totaalbedrag],(tblAanvulling[Mdw.]=[@[Mdw.]])*(tblAanvulling[Bkjr.]=[@Opbouwjaar]),0),1),0))</f>
        <v/>
      </c>
      <c r="S59">
        <f>IF([@Aanvullingsrechtig]="Ja",[@Beginsaldo]*[@Aanvulling_pu],0)</f>
        <v/>
      </c>
      <c r="T59">
        <f>IF(AND([@Opbouwjaar]&lt;&gt;"",[@Beginsaldo]&lt;&gt;0,OR([@Aanvullingsrechtig]="Ja",[@Aanvullingsrechtig]="Nee")),1,0)</f>
        <v/>
      </c>
    </row>
    <row r="60">
      <c r="O60">
        <f>LET(t,[@[Type verlof]],s,SEQUENCE(MAX(1,LEN(t)-3)),k,IFERROR(--MID(t,s,4),0),g,FILTER(k,(k&gt;=2000)*(k&lt;=2100),""),IFERROR(INDEX(g,1),""))</f>
        <v/>
      </c>
      <c r="P60">
        <f>LET(t,[@[Type verlof]],jj,[@Opbouwjaar],s,IF(jj="",t,SUBSTITUTE(t," "&amp;jj,"")),TRIM(s))</f>
        <v/>
      </c>
      <c r="Q60">
        <f>IF([@[Type verlof]]="","",IFERROR(XLOOKUP([@Basis_type],tblInstellingen[Basis verloftype],tblInstellingen[Aanvullingsrechtig]),"ONBEKEND"))</f>
        <v/>
      </c>
      <c r="R60">
        <f>IF(OR([@Opbouwjaar]="",[@[Type verlof]]=""),0,IFERROR(INDEX(FILTER(tblAanvulling[Totaalbedrag],(tblAanvulling[Mdw.]=[@[Mdw.]])*(tblAanvulling[Bkjr.]=[@Opbouwjaar]),0),1),0))</f>
        <v/>
      </c>
      <c r="S60">
        <f>IF([@Aanvullingsrechtig]="Ja",[@Beginsaldo]*[@Aanvulling_pu],0)</f>
        <v/>
      </c>
      <c r="T60">
        <f>IF(AND([@Opbouwjaar]&lt;&gt;"",[@Beginsaldo]&lt;&gt;0,OR([@Aanvullingsrechtig]="Ja",[@Aanvullingsrechtig]="Nee")),1,0)</f>
        <v/>
      </c>
    </row>
    <row r="61">
      <c r="O61">
        <f>LET(t,[@[Type verlof]],s,SEQUENCE(MAX(1,LEN(t)-3)),k,IFERROR(--MID(t,s,4),0),g,FILTER(k,(k&gt;=2000)*(k&lt;=2100),""),IFERROR(INDEX(g,1),""))</f>
        <v/>
      </c>
      <c r="P61">
        <f>LET(t,[@[Type verlof]],jj,[@Opbouwjaar],s,IF(jj="",t,SUBSTITUTE(t," "&amp;jj,"")),TRIM(s))</f>
        <v/>
      </c>
      <c r="Q61">
        <f>IF([@[Type verlof]]="","",IFERROR(XLOOKUP([@Basis_type],tblInstellingen[Basis verloftype],tblInstellingen[Aanvullingsrechtig]),"ONBEKEND"))</f>
        <v/>
      </c>
      <c r="R61">
        <f>IF(OR([@Opbouwjaar]="",[@[Type verlof]]=""),0,IFERROR(INDEX(FILTER(tblAanvulling[Totaalbedrag],(tblAanvulling[Mdw.]=[@[Mdw.]])*(tblAanvulling[Bkjr.]=[@Opbouwjaar]),0),1),0))</f>
        <v/>
      </c>
      <c r="S61">
        <f>IF([@Aanvullingsrechtig]="Ja",[@Beginsaldo]*[@Aanvulling_pu],0)</f>
        <v/>
      </c>
      <c r="T61">
        <f>IF(AND([@Opbouwjaar]&lt;&gt;"",[@Beginsaldo]&lt;&gt;0,OR([@Aanvullingsrechtig]="Ja",[@Aanvullingsrechtig]="Nee")),1,0)</f>
        <v/>
      </c>
    </row>
    <row r="62">
      <c r="O62">
        <f>LET(t,[@[Type verlof]],s,SEQUENCE(MAX(1,LEN(t)-3)),k,IFERROR(--MID(t,s,4),0),g,FILTER(k,(k&gt;=2000)*(k&lt;=2100),""),IFERROR(INDEX(g,1),""))</f>
        <v/>
      </c>
      <c r="P62">
        <f>LET(t,[@[Type verlof]],jj,[@Opbouwjaar],s,IF(jj="",t,SUBSTITUTE(t," "&amp;jj,"")),TRIM(s))</f>
        <v/>
      </c>
      <c r="Q62">
        <f>IF([@[Type verlof]]="","",IFERROR(XLOOKUP([@Basis_type],tblInstellingen[Basis verloftype],tblInstellingen[Aanvullingsrechtig]),"ONBEKEND"))</f>
        <v/>
      </c>
      <c r="R62">
        <f>IF(OR([@Opbouwjaar]="",[@[Type verlof]]=""),0,IFERROR(INDEX(FILTER(tblAanvulling[Totaalbedrag],(tblAanvulling[Mdw.]=[@[Mdw.]])*(tblAanvulling[Bkjr.]=[@Opbouwjaar]),0),1),0))</f>
        <v/>
      </c>
      <c r="S62">
        <f>IF([@Aanvullingsrechtig]="Ja",[@Beginsaldo]*[@Aanvulling_pu],0)</f>
        <v/>
      </c>
      <c r="T62">
        <f>IF(AND([@Opbouwjaar]&lt;&gt;"",[@Beginsaldo]&lt;&gt;0,OR([@Aanvullingsrechtig]="Ja",[@Aanvullingsrechtig]="Nee")),1,0)</f>
        <v/>
      </c>
    </row>
    <row r="63">
      <c r="O63">
        <f>LET(t,[@[Type verlof]],s,SEQUENCE(MAX(1,LEN(t)-3)),k,IFERROR(--MID(t,s,4),0),g,FILTER(k,(k&gt;=2000)*(k&lt;=2100),""),IFERROR(INDEX(g,1),""))</f>
        <v/>
      </c>
      <c r="P63">
        <f>LET(t,[@[Type verlof]],jj,[@Opbouwjaar],s,IF(jj="",t,SUBSTITUTE(t," "&amp;jj,"")),TRIM(s))</f>
        <v/>
      </c>
      <c r="Q63">
        <f>IF([@[Type verlof]]="","",IFERROR(XLOOKUP([@Basis_type],tblInstellingen[Basis verloftype],tblInstellingen[Aanvullingsrechtig]),"ONBEKEND"))</f>
        <v/>
      </c>
      <c r="R63">
        <f>IF(OR([@Opbouwjaar]="",[@[Type verlof]]=""),0,IFERROR(INDEX(FILTER(tblAanvulling[Totaalbedrag],(tblAanvulling[Mdw.]=[@[Mdw.]])*(tblAanvulling[Bkjr.]=[@Opbouwjaar]),0),1),0))</f>
        <v/>
      </c>
      <c r="S63">
        <f>IF([@Aanvullingsrechtig]="Ja",[@Beginsaldo]*[@Aanvulling_pu],0)</f>
        <v/>
      </c>
      <c r="T63">
        <f>IF(AND([@Opbouwjaar]&lt;&gt;"",[@Beginsaldo]&lt;&gt;0,OR([@Aanvullingsrechtig]="Ja",[@Aanvullingsrechtig]="Nee")),1,0)</f>
        <v/>
      </c>
    </row>
    <row r="64">
      <c r="O64">
        <f>LET(t,[@[Type verlof]],s,SEQUENCE(MAX(1,LEN(t)-3)),k,IFERROR(--MID(t,s,4),0),g,FILTER(k,(k&gt;=2000)*(k&lt;=2100),""),IFERROR(INDEX(g,1),""))</f>
        <v/>
      </c>
      <c r="P64">
        <f>LET(t,[@[Type verlof]],jj,[@Opbouwjaar],s,IF(jj="",t,SUBSTITUTE(t," "&amp;jj,"")),TRIM(s))</f>
        <v/>
      </c>
      <c r="Q64">
        <f>IF([@[Type verlof]]="","",IFERROR(XLOOKUP([@Basis_type],tblInstellingen[Basis verloftype],tblInstellingen[Aanvullingsrechtig]),"ONBEKEND"))</f>
        <v/>
      </c>
      <c r="R64">
        <f>IF(OR([@Opbouwjaar]="",[@[Type verlof]]=""),0,IFERROR(INDEX(FILTER(tblAanvulling[Totaalbedrag],(tblAanvulling[Mdw.]=[@[Mdw.]])*(tblAanvulling[Bkjr.]=[@Opbouwjaar]),0),1),0))</f>
        <v/>
      </c>
      <c r="S64">
        <f>IF([@Aanvullingsrechtig]="Ja",[@Beginsaldo]*[@Aanvulling_pu],0)</f>
        <v/>
      </c>
      <c r="T64">
        <f>IF(AND([@Opbouwjaar]&lt;&gt;"",[@Beginsaldo]&lt;&gt;0,OR([@Aanvullingsrechtig]="Ja",[@Aanvullingsrechtig]="Nee")),1,0)</f>
        <v/>
      </c>
    </row>
    <row r="65">
      <c r="O65">
        <f>LET(t,[@[Type verlof]],s,SEQUENCE(MAX(1,LEN(t)-3)),k,IFERROR(--MID(t,s,4),0),g,FILTER(k,(k&gt;=2000)*(k&lt;=2100),""),IFERROR(INDEX(g,1),""))</f>
        <v/>
      </c>
      <c r="P65">
        <f>LET(t,[@[Type verlof]],jj,[@Opbouwjaar],s,IF(jj="",t,SUBSTITUTE(t," "&amp;jj,"")),TRIM(s))</f>
        <v/>
      </c>
      <c r="Q65">
        <f>IF([@[Type verlof]]="","",IFERROR(XLOOKUP([@Basis_type],tblInstellingen[Basis verloftype],tblInstellingen[Aanvullingsrechtig]),"ONBEKEND"))</f>
        <v/>
      </c>
      <c r="R65">
        <f>IF(OR([@Opbouwjaar]="",[@[Type verlof]]=""),0,IFERROR(INDEX(FILTER(tblAanvulling[Totaalbedrag],(tblAanvulling[Mdw.]=[@[Mdw.]])*(tblAanvulling[Bkjr.]=[@Opbouwjaar]),0),1),0))</f>
        <v/>
      </c>
      <c r="S65">
        <f>IF([@Aanvullingsrechtig]="Ja",[@Beginsaldo]*[@Aanvulling_pu],0)</f>
        <v/>
      </c>
      <c r="T65">
        <f>IF(AND([@Opbouwjaar]&lt;&gt;"",[@Beginsaldo]&lt;&gt;0,OR([@Aanvullingsrechtig]="Ja",[@Aanvullingsrechtig]="Nee")),1,0)</f>
        <v/>
      </c>
    </row>
    <row r="66">
      <c r="O66">
        <f>LET(t,[@[Type verlof]],s,SEQUENCE(MAX(1,LEN(t)-3)),k,IFERROR(--MID(t,s,4),0),g,FILTER(k,(k&gt;=2000)*(k&lt;=2100),""),IFERROR(INDEX(g,1),""))</f>
        <v/>
      </c>
      <c r="P66">
        <f>LET(t,[@[Type verlof]],jj,[@Opbouwjaar],s,IF(jj="",t,SUBSTITUTE(t," "&amp;jj,"")),TRIM(s))</f>
        <v/>
      </c>
      <c r="Q66">
        <f>IF([@[Type verlof]]="","",IFERROR(XLOOKUP([@Basis_type],tblInstellingen[Basis verloftype],tblInstellingen[Aanvullingsrechtig]),"ONBEKEND"))</f>
        <v/>
      </c>
      <c r="R66">
        <f>IF(OR([@Opbouwjaar]="",[@[Type verlof]]=""),0,IFERROR(INDEX(FILTER(tblAanvulling[Totaalbedrag],(tblAanvulling[Mdw.]=[@[Mdw.]])*(tblAanvulling[Bkjr.]=[@Opbouwjaar]),0),1),0))</f>
        <v/>
      </c>
      <c r="S66">
        <f>IF([@Aanvullingsrechtig]="Ja",[@Beginsaldo]*[@Aanvulling_pu],0)</f>
        <v/>
      </c>
      <c r="T66">
        <f>IF(AND([@Opbouwjaar]&lt;&gt;"",[@Beginsaldo]&lt;&gt;0,OR([@Aanvullingsrechtig]="Ja",[@Aanvullingsrechtig]="Nee")),1,0)</f>
        <v/>
      </c>
    </row>
    <row r="67">
      <c r="O67">
        <f>LET(t,[@[Type verlof]],s,SEQUENCE(MAX(1,LEN(t)-3)),k,IFERROR(--MID(t,s,4),0),g,FILTER(k,(k&gt;=2000)*(k&lt;=2100),""),IFERROR(INDEX(g,1),""))</f>
        <v/>
      </c>
      <c r="P67">
        <f>LET(t,[@[Type verlof]],jj,[@Opbouwjaar],s,IF(jj="",t,SUBSTITUTE(t," "&amp;jj,"")),TRIM(s))</f>
        <v/>
      </c>
      <c r="Q67">
        <f>IF([@[Type verlof]]="","",IFERROR(XLOOKUP([@Basis_type],tblInstellingen[Basis verloftype],tblInstellingen[Aanvullingsrechtig]),"ONBEKEND"))</f>
        <v/>
      </c>
      <c r="R67">
        <f>IF(OR([@Opbouwjaar]="",[@[Type verlof]]=""),0,IFERROR(INDEX(FILTER(tblAanvulling[Totaalbedrag],(tblAanvulling[Mdw.]=[@[Mdw.]])*(tblAanvulling[Bkjr.]=[@Opbouwjaar]),0),1),0))</f>
        <v/>
      </c>
      <c r="S67">
        <f>IF([@Aanvullingsrechtig]="Ja",[@Beginsaldo]*[@Aanvulling_pu],0)</f>
        <v/>
      </c>
      <c r="T67">
        <f>IF(AND([@Opbouwjaar]&lt;&gt;"",[@Beginsaldo]&lt;&gt;0,OR([@Aanvullingsrechtig]="Ja",[@Aanvullingsrechtig]="Nee")),1,0)</f>
        <v/>
      </c>
    </row>
    <row r="68">
      <c r="O68">
        <f>LET(t,[@[Type verlof]],s,SEQUENCE(MAX(1,LEN(t)-3)),k,IFERROR(--MID(t,s,4),0),g,FILTER(k,(k&gt;=2000)*(k&lt;=2100),""),IFERROR(INDEX(g,1),""))</f>
        <v/>
      </c>
      <c r="P68">
        <f>LET(t,[@[Type verlof]],jj,[@Opbouwjaar],s,IF(jj="",t,SUBSTITUTE(t," "&amp;jj,"")),TRIM(s))</f>
        <v/>
      </c>
      <c r="Q68">
        <f>IF([@[Type verlof]]="","",IFERROR(XLOOKUP([@Basis_type],tblInstellingen[Basis verloftype],tblInstellingen[Aanvullingsrechtig]),"ONBEKEND"))</f>
        <v/>
      </c>
      <c r="R68">
        <f>IF(OR([@Opbouwjaar]="",[@[Type verlof]]=""),0,IFERROR(INDEX(FILTER(tblAanvulling[Totaalbedrag],(tblAanvulling[Mdw.]=[@[Mdw.]])*(tblAanvulling[Bkjr.]=[@Opbouwjaar]),0),1),0))</f>
        <v/>
      </c>
      <c r="S68">
        <f>IF([@Aanvullingsrechtig]="Ja",[@Beginsaldo]*[@Aanvulling_pu],0)</f>
        <v/>
      </c>
      <c r="T68">
        <f>IF(AND([@Opbouwjaar]&lt;&gt;"",[@Beginsaldo]&lt;&gt;0,OR([@Aanvullingsrechtig]="Ja",[@Aanvullingsrechtig]="Nee")),1,0)</f>
        <v/>
      </c>
    </row>
    <row r="69">
      <c r="O69">
        <f>LET(t,[@[Type verlof]],s,SEQUENCE(MAX(1,LEN(t)-3)),k,IFERROR(--MID(t,s,4),0),g,FILTER(k,(k&gt;=2000)*(k&lt;=2100),""),IFERROR(INDEX(g,1),""))</f>
        <v/>
      </c>
      <c r="P69">
        <f>LET(t,[@[Type verlof]],jj,[@Opbouwjaar],s,IF(jj="",t,SUBSTITUTE(t," "&amp;jj,"")),TRIM(s))</f>
        <v/>
      </c>
      <c r="Q69">
        <f>IF([@[Type verlof]]="","",IFERROR(XLOOKUP([@Basis_type],tblInstellingen[Basis verloftype],tblInstellingen[Aanvullingsrechtig]),"ONBEKEND"))</f>
        <v/>
      </c>
      <c r="R69">
        <f>IF(OR([@Opbouwjaar]="",[@[Type verlof]]=""),0,IFERROR(INDEX(FILTER(tblAanvulling[Totaalbedrag],(tblAanvulling[Mdw.]=[@[Mdw.]])*(tblAanvulling[Bkjr.]=[@Opbouwjaar]),0),1),0))</f>
        <v/>
      </c>
      <c r="S69">
        <f>IF([@Aanvullingsrechtig]="Ja",[@Beginsaldo]*[@Aanvulling_pu],0)</f>
        <v/>
      </c>
      <c r="T69">
        <f>IF(AND([@Opbouwjaar]&lt;&gt;"",[@Beginsaldo]&lt;&gt;0,OR([@Aanvullingsrechtig]="Ja",[@Aanvullingsrechtig]="Nee")),1,0)</f>
        <v/>
      </c>
    </row>
    <row r="70">
      <c r="O70">
        <f>LET(t,[@[Type verlof]],s,SEQUENCE(MAX(1,LEN(t)-3)),k,IFERROR(--MID(t,s,4),0),g,FILTER(k,(k&gt;=2000)*(k&lt;=2100),""),IFERROR(INDEX(g,1),""))</f>
        <v/>
      </c>
      <c r="P70">
        <f>LET(t,[@[Type verlof]],jj,[@Opbouwjaar],s,IF(jj="",t,SUBSTITUTE(t," "&amp;jj,"")),TRIM(s))</f>
        <v/>
      </c>
      <c r="Q70">
        <f>IF([@[Type verlof]]="","",IFERROR(XLOOKUP([@Basis_type],tblInstellingen[Basis verloftype],tblInstellingen[Aanvullingsrechtig]),"ONBEKEND"))</f>
        <v/>
      </c>
      <c r="R70">
        <f>IF(OR([@Opbouwjaar]="",[@[Type verlof]]=""),0,IFERROR(INDEX(FILTER(tblAanvulling[Totaalbedrag],(tblAanvulling[Mdw.]=[@[Mdw.]])*(tblAanvulling[Bkjr.]=[@Opbouwjaar]),0),1),0))</f>
        <v/>
      </c>
      <c r="S70">
        <f>IF([@Aanvullingsrechtig]="Ja",[@Beginsaldo]*[@Aanvulling_pu],0)</f>
        <v/>
      </c>
      <c r="T70">
        <f>IF(AND([@Opbouwjaar]&lt;&gt;"",[@Beginsaldo]&lt;&gt;0,OR([@Aanvullingsrechtig]="Ja",[@Aanvullingsrechtig]="Nee")),1,0)</f>
        <v/>
      </c>
    </row>
    <row r="71">
      <c r="O71">
        <f>LET(t,[@[Type verlof]],s,SEQUENCE(MAX(1,LEN(t)-3)),k,IFERROR(--MID(t,s,4),0),g,FILTER(k,(k&gt;=2000)*(k&lt;=2100),""),IFERROR(INDEX(g,1),""))</f>
        <v/>
      </c>
      <c r="P71">
        <f>LET(t,[@[Type verlof]],jj,[@Opbouwjaar],s,IF(jj="",t,SUBSTITUTE(t," "&amp;jj,"")),TRIM(s))</f>
        <v/>
      </c>
      <c r="Q71">
        <f>IF([@[Type verlof]]="","",IFERROR(XLOOKUP([@Basis_type],tblInstellingen[Basis verloftype],tblInstellingen[Aanvullingsrechtig]),"ONBEKEND"))</f>
        <v/>
      </c>
      <c r="R71">
        <f>IF(OR([@Opbouwjaar]="",[@[Type verlof]]=""),0,IFERROR(INDEX(FILTER(tblAanvulling[Totaalbedrag],(tblAanvulling[Mdw.]=[@[Mdw.]])*(tblAanvulling[Bkjr.]=[@Opbouwjaar]),0),1),0))</f>
        <v/>
      </c>
      <c r="S71">
        <f>IF([@Aanvullingsrechtig]="Ja",[@Beginsaldo]*[@Aanvulling_pu],0)</f>
        <v/>
      </c>
      <c r="T71">
        <f>IF(AND([@Opbouwjaar]&lt;&gt;"",[@Beginsaldo]&lt;&gt;0,OR([@Aanvullingsrechtig]="Ja",[@Aanvullingsrechtig]="Nee")),1,0)</f>
        <v/>
      </c>
    </row>
    <row r="72">
      <c r="O72">
        <f>LET(t,[@[Type verlof]],s,SEQUENCE(MAX(1,LEN(t)-3)),k,IFERROR(--MID(t,s,4),0),g,FILTER(k,(k&gt;=2000)*(k&lt;=2100),""),IFERROR(INDEX(g,1),""))</f>
        <v/>
      </c>
      <c r="P72">
        <f>LET(t,[@[Type verlof]],jj,[@Opbouwjaar],s,IF(jj="",t,SUBSTITUTE(t," "&amp;jj,"")),TRIM(s))</f>
        <v/>
      </c>
      <c r="Q72">
        <f>IF([@[Type verlof]]="","",IFERROR(XLOOKUP([@Basis_type],tblInstellingen[Basis verloftype],tblInstellingen[Aanvullingsrechtig]),"ONBEKEND"))</f>
        <v/>
      </c>
      <c r="R72">
        <f>IF(OR([@Opbouwjaar]="",[@[Type verlof]]=""),0,IFERROR(INDEX(FILTER(tblAanvulling[Totaalbedrag],(tblAanvulling[Mdw.]=[@[Mdw.]])*(tblAanvulling[Bkjr.]=[@Opbouwjaar]),0),1),0))</f>
        <v/>
      </c>
      <c r="S72">
        <f>IF([@Aanvullingsrechtig]="Ja",[@Beginsaldo]*[@Aanvulling_pu],0)</f>
        <v/>
      </c>
      <c r="T72">
        <f>IF(AND([@Opbouwjaar]&lt;&gt;"",[@Beginsaldo]&lt;&gt;0,OR([@Aanvullingsrechtig]="Ja",[@Aanvullingsrechtig]="Nee")),1,0)</f>
        <v/>
      </c>
    </row>
    <row r="73">
      <c r="O73">
        <f>LET(t,[@[Type verlof]],s,SEQUENCE(MAX(1,LEN(t)-3)),k,IFERROR(--MID(t,s,4),0),g,FILTER(k,(k&gt;=2000)*(k&lt;=2100),""),IFERROR(INDEX(g,1),""))</f>
        <v/>
      </c>
      <c r="P73">
        <f>LET(t,[@[Type verlof]],jj,[@Opbouwjaar],s,IF(jj="",t,SUBSTITUTE(t," "&amp;jj,"")),TRIM(s))</f>
        <v/>
      </c>
      <c r="Q73">
        <f>IF([@[Type verlof]]="","",IFERROR(XLOOKUP([@Basis_type],tblInstellingen[Basis verloftype],tblInstellingen[Aanvullingsrechtig]),"ONBEKEND"))</f>
        <v/>
      </c>
      <c r="R73">
        <f>IF(OR([@Opbouwjaar]="",[@[Type verlof]]=""),0,IFERROR(INDEX(FILTER(tblAanvulling[Totaalbedrag],(tblAanvulling[Mdw.]=[@[Mdw.]])*(tblAanvulling[Bkjr.]=[@Opbouwjaar]),0),1),0))</f>
        <v/>
      </c>
      <c r="S73">
        <f>IF([@Aanvullingsrechtig]="Ja",[@Beginsaldo]*[@Aanvulling_pu],0)</f>
        <v/>
      </c>
      <c r="T73">
        <f>IF(AND([@Opbouwjaar]&lt;&gt;"",[@Beginsaldo]&lt;&gt;0,OR([@Aanvullingsrechtig]="Ja",[@Aanvullingsrechtig]="Nee")),1,0)</f>
        <v/>
      </c>
    </row>
    <row r="74">
      <c r="O74">
        <f>LET(t,[@[Type verlof]],s,SEQUENCE(MAX(1,LEN(t)-3)),k,IFERROR(--MID(t,s,4),0),g,FILTER(k,(k&gt;=2000)*(k&lt;=2100),""),IFERROR(INDEX(g,1),""))</f>
        <v/>
      </c>
      <c r="P74">
        <f>LET(t,[@[Type verlof]],jj,[@Opbouwjaar],s,IF(jj="",t,SUBSTITUTE(t," "&amp;jj,"")),TRIM(s))</f>
        <v/>
      </c>
      <c r="Q74">
        <f>IF([@[Type verlof]]="","",IFERROR(XLOOKUP([@Basis_type],tblInstellingen[Basis verloftype],tblInstellingen[Aanvullingsrechtig]),"ONBEKEND"))</f>
        <v/>
      </c>
      <c r="R74">
        <f>IF(OR([@Opbouwjaar]="",[@[Type verlof]]=""),0,IFERROR(INDEX(FILTER(tblAanvulling[Totaalbedrag],(tblAanvulling[Mdw.]=[@[Mdw.]])*(tblAanvulling[Bkjr.]=[@Opbouwjaar]),0),1),0))</f>
        <v/>
      </c>
      <c r="S74">
        <f>IF([@Aanvullingsrechtig]="Ja",[@Beginsaldo]*[@Aanvulling_pu],0)</f>
        <v/>
      </c>
      <c r="T74">
        <f>IF(AND([@Opbouwjaar]&lt;&gt;"",[@Beginsaldo]&lt;&gt;0,OR([@Aanvullingsrechtig]="Ja",[@Aanvullingsrechtig]="Nee")),1,0)</f>
        <v/>
      </c>
    </row>
    <row r="75">
      <c r="O75">
        <f>LET(t,[@[Type verlof]],s,SEQUENCE(MAX(1,LEN(t)-3)),k,IFERROR(--MID(t,s,4),0),g,FILTER(k,(k&gt;=2000)*(k&lt;=2100),""),IFERROR(INDEX(g,1),""))</f>
        <v/>
      </c>
      <c r="P75">
        <f>LET(t,[@[Type verlof]],jj,[@Opbouwjaar],s,IF(jj="",t,SUBSTITUTE(t," "&amp;jj,"")),TRIM(s))</f>
        <v/>
      </c>
      <c r="Q75">
        <f>IF([@[Type verlof]]="","",IFERROR(XLOOKUP([@Basis_type],tblInstellingen[Basis verloftype],tblInstellingen[Aanvullingsrechtig]),"ONBEKEND"))</f>
        <v/>
      </c>
      <c r="R75">
        <f>IF(OR([@Opbouwjaar]="",[@[Type verlof]]=""),0,IFERROR(INDEX(FILTER(tblAanvulling[Totaalbedrag],(tblAanvulling[Mdw.]=[@[Mdw.]])*(tblAanvulling[Bkjr.]=[@Opbouwjaar]),0),1),0))</f>
        <v/>
      </c>
      <c r="S75">
        <f>IF([@Aanvullingsrechtig]="Ja",[@Beginsaldo]*[@Aanvulling_pu],0)</f>
        <v/>
      </c>
      <c r="T75">
        <f>IF(AND([@Opbouwjaar]&lt;&gt;"",[@Beginsaldo]&lt;&gt;0,OR([@Aanvullingsrechtig]="Ja",[@Aanvullingsrechtig]="Nee")),1,0)</f>
        <v/>
      </c>
    </row>
    <row r="76">
      <c r="O76">
        <f>LET(t,[@[Type verlof]],s,SEQUENCE(MAX(1,LEN(t)-3)),k,IFERROR(--MID(t,s,4),0),g,FILTER(k,(k&gt;=2000)*(k&lt;=2100),""),IFERROR(INDEX(g,1),""))</f>
        <v/>
      </c>
      <c r="P76">
        <f>LET(t,[@[Type verlof]],jj,[@Opbouwjaar],s,IF(jj="",t,SUBSTITUTE(t," "&amp;jj,"")),TRIM(s))</f>
        <v/>
      </c>
      <c r="Q76">
        <f>IF([@[Type verlof]]="","",IFERROR(XLOOKUP([@Basis_type],tblInstellingen[Basis verloftype],tblInstellingen[Aanvullingsrechtig]),"ONBEKEND"))</f>
        <v/>
      </c>
      <c r="R76">
        <f>IF(OR([@Opbouwjaar]="",[@[Type verlof]]=""),0,IFERROR(INDEX(FILTER(tblAanvulling[Totaalbedrag],(tblAanvulling[Mdw.]=[@[Mdw.]])*(tblAanvulling[Bkjr.]=[@Opbouwjaar]),0),1),0))</f>
        <v/>
      </c>
      <c r="S76">
        <f>IF([@Aanvullingsrechtig]="Ja",[@Beginsaldo]*[@Aanvulling_pu],0)</f>
        <v/>
      </c>
      <c r="T76">
        <f>IF(AND([@Opbouwjaar]&lt;&gt;"",[@Beginsaldo]&lt;&gt;0,OR([@Aanvullingsrechtig]="Ja",[@Aanvullingsrechtig]="Nee")),1,0)</f>
        <v/>
      </c>
    </row>
    <row r="77">
      <c r="O77">
        <f>LET(t,[@[Type verlof]],s,SEQUENCE(MAX(1,LEN(t)-3)),k,IFERROR(--MID(t,s,4),0),g,FILTER(k,(k&gt;=2000)*(k&lt;=2100),""),IFERROR(INDEX(g,1),""))</f>
        <v/>
      </c>
      <c r="P77">
        <f>LET(t,[@[Type verlof]],jj,[@Opbouwjaar],s,IF(jj="",t,SUBSTITUTE(t," "&amp;jj,"")),TRIM(s))</f>
        <v/>
      </c>
      <c r="Q77">
        <f>IF([@[Type verlof]]="","",IFERROR(XLOOKUP([@Basis_type],tblInstellingen[Basis verloftype],tblInstellingen[Aanvullingsrechtig]),"ONBEKEND"))</f>
        <v/>
      </c>
      <c r="R77">
        <f>IF(OR([@Opbouwjaar]="",[@[Type verlof]]=""),0,IFERROR(INDEX(FILTER(tblAanvulling[Totaalbedrag],(tblAanvulling[Mdw.]=[@[Mdw.]])*(tblAanvulling[Bkjr.]=[@Opbouwjaar]),0),1),0))</f>
        <v/>
      </c>
      <c r="S77">
        <f>IF([@Aanvullingsrechtig]="Ja",[@Beginsaldo]*[@Aanvulling_pu],0)</f>
        <v/>
      </c>
      <c r="T77">
        <f>IF(AND([@Opbouwjaar]&lt;&gt;"",[@Beginsaldo]&lt;&gt;0,OR([@Aanvullingsrechtig]="Ja",[@Aanvullingsrechtig]="Nee")),1,0)</f>
        <v/>
      </c>
    </row>
    <row r="78">
      <c r="O78">
        <f>LET(t,[@[Type verlof]],s,SEQUENCE(MAX(1,LEN(t)-3)),k,IFERROR(--MID(t,s,4),0),g,FILTER(k,(k&gt;=2000)*(k&lt;=2100),""),IFERROR(INDEX(g,1),""))</f>
        <v/>
      </c>
      <c r="P78">
        <f>LET(t,[@[Type verlof]],jj,[@Opbouwjaar],s,IF(jj="",t,SUBSTITUTE(t," "&amp;jj,"")),TRIM(s))</f>
        <v/>
      </c>
      <c r="Q78">
        <f>IF([@[Type verlof]]="","",IFERROR(XLOOKUP([@Basis_type],tblInstellingen[Basis verloftype],tblInstellingen[Aanvullingsrechtig]),"ONBEKEND"))</f>
        <v/>
      </c>
      <c r="R78">
        <f>IF(OR([@Opbouwjaar]="",[@[Type verlof]]=""),0,IFERROR(INDEX(FILTER(tblAanvulling[Totaalbedrag],(tblAanvulling[Mdw.]=[@[Mdw.]])*(tblAanvulling[Bkjr.]=[@Opbouwjaar]),0),1),0))</f>
        <v/>
      </c>
      <c r="S78">
        <f>IF([@Aanvullingsrechtig]="Ja",[@Beginsaldo]*[@Aanvulling_pu],0)</f>
        <v/>
      </c>
      <c r="T78">
        <f>IF(AND([@Opbouwjaar]&lt;&gt;"",[@Beginsaldo]&lt;&gt;0,OR([@Aanvullingsrechtig]="Ja",[@Aanvullingsrechtig]="Nee")),1,0)</f>
        <v/>
      </c>
    </row>
    <row r="79">
      <c r="O79">
        <f>LET(t,[@[Type verlof]],s,SEQUENCE(MAX(1,LEN(t)-3)),k,IFERROR(--MID(t,s,4),0),g,FILTER(k,(k&gt;=2000)*(k&lt;=2100),""),IFERROR(INDEX(g,1),""))</f>
        <v/>
      </c>
      <c r="P79">
        <f>LET(t,[@[Type verlof]],jj,[@Opbouwjaar],s,IF(jj="",t,SUBSTITUTE(t," "&amp;jj,"")),TRIM(s))</f>
        <v/>
      </c>
      <c r="Q79">
        <f>IF([@[Type verlof]]="","",IFERROR(XLOOKUP([@Basis_type],tblInstellingen[Basis verloftype],tblInstellingen[Aanvullingsrechtig]),"ONBEKEND"))</f>
        <v/>
      </c>
      <c r="R79">
        <f>IF(OR([@Opbouwjaar]="",[@[Type verlof]]=""),0,IFERROR(INDEX(FILTER(tblAanvulling[Totaalbedrag],(tblAanvulling[Mdw.]=[@[Mdw.]])*(tblAanvulling[Bkjr.]=[@Opbouwjaar]),0),1),0))</f>
        <v/>
      </c>
      <c r="S79">
        <f>IF([@Aanvullingsrechtig]="Ja",[@Beginsaldo]*[@Aanvulling_pu],0)</f>
        <v/>
      </c>
      <c r="T79">
        <f>IF(AND([@Opbouwjaar]&lt;&gt;"",[@Beginsaldo]&lt;&gt;0,OR([@Aanvullingsrechtig]="Ja",[@Aanvullingsrechtig]="Nee")),1,0)</f>
        <v/>
      </c>
    </row>
    <row r="80">
      <c r="O80">
        <f>LET(t,[@[Type verlof]],s,SEQUENCE(MAX(1,LEN(t)-3)),k,IFERROR(--MID(t,s,4),0),g,FILTER(k,(k&gt;=2000)*(k&lt;=2100),""),IFERROR(INDEX(g,1),""))</f>
        <v/>
      </c>
      <c r="P80">
        <f>LET(t,[@[Type verlof]],jj,[@Opbouwjaar],s,IF(jj="",t,SUBSTITUTE(t," "&amp;jj,"")),TRIM(s))</f>
        <v/>
      </c>
      <c r="Q80">
        <f>IF([@[Type verlof]]="","",IFERROR(XLOOKUP([@Basis_type],tblInstellingen[Basis verloftype],tblInstellingen[Aanvullingsrechtig]),"ONBEKEND"))</f>
        <v/>
      </c>
      <c r="R80">
        <f>IF(OR([@Opbouwjaar]="",[@[Type verlof]]=""),0,IFERROR(INDEX(FILTER(tblAanvulling[Totaalbedrag],(tblAanvulling[Mdw.]=[@[Mdw.]])*(tblAanvulling[Bkjr.]=[@Opbouwjaar]),0),1),0))</f>
        <v/>
      </c>
      <c r="S80">
        <f>IF([@Aanvullingsrechtig]="Ja",[@Beginsaldo]*[@Aanvulling_pu],0)</f>
        <v/>
      </c>
      <c r="T80">
        <f>IF(AND([@Opbouwjaar]&lt;&gt;"",[@Beginsaldo]&lt;&gt;0,OR([@Aanvullingsrechtig]="Ja",[@Aanvullingsrechtig]="Nee")),1,0)</f>
        <v/>
      </c>
    </row>
    <row r="81">
      <c r="O81">
        <f>LET(t,[@[Type verlof]],s,SEQUENCE(MAX(1,LEN(t)-3)),k,IFERROR(--MID(t,s,4),0),g,FILTER(k,(k&gt;=2000)*(k&lt;=2100),""),IFERROR(INDEX(g,1),""))</f>
        <v/>
      </c>
      <c r="P81">
        <f>LET(t,[@[Type verlof]],jj,[@Opbouwjaar],s,IF(jj="",t,SUBSTITUTE(t," "&amp;jj,"")),TRIM(s))</f>
        <v/>
      </c>
      <c r="Q81">
        <f>IF([@[Type verlof]]="","",IFERROR(XLOOKUP([@Basis_type],tblInstellingen[Basis verloftype],tblInstellingen[Aanvullingsrechtig]),"ONBEKEND"))</f>
        <v/>
      </c>
      <c r="R81">
        <f>IF(OR([@Opbouwjaar]="",[@[Type verlof]]=""),0,IFERROR(INDEX(FILTER(tblAanvulling[Totaalbedrag],(tblAanvulling[Mdw.]=[@[Mdw.]])*(tblAanvulling[Bkjr.]=[@Opbouwjaar]),0),1),0))</f>
        <v/>
      </c>
      <c r="S81">
        <f>IF([@Aanvullingsrechtig]="Ja",[@Beginsaldo]*[@Aanvulling_pu],0)</f>
        <v/>
      </c>
      <c r="T81">
        <f>IF(AND([@Opbouwjaar]&lt;&gt;"",[@Beginsaldo]&lt;&gt;0,OR([@Aanvullingsrechtig]="Ja",[@Aanvullingsrechtig]="Nee")),1,0)</f>
        <v/>
      </c>
    </row>
    <row r="82">
      <c r="O82">
        <f>LET(t,[@[Type verlof]],s,SEQUENCE(MAX(1,LEN(t)-3)),k,IFERROR(--MID(t,s,4),0),g,FILTER(k,(k&gt;=2000)*(k&lt;=2100),""),IFERROR(INDEX(g,1),""))</f>
        <v/>
      </c>
      <c r="P82">
        <f>LET(t,[@[Type verlof]],jj,[@Opbouwjaar],s,IF(jj="",t,SUBSTITUTE(t," "&amp;jj,"")),TRIM(s))</f>
        <v/>
      </c>
      <c r="Q82">
        <f>IF([@[Type verlof]]="","",IFERROR(XLOOKUP([@Basis_type],tblInstellingen[Basis verloftype],tblInstellingen[Aanvullingsrechtig]),"ONBEKEND"))</f>
        <v/>
      </c>
      <c r="R82">
        <f>IF(OR([@Opbouwjaar]="",[@[Type verlof]]=""),0,IFERROR(INDEX(FILTER(tblAanvulling[Totaalbedrag],(tblAanvulling[Mdw.]=[@[Mdw.]])*(tblAanvulling[Bkjr.]=[@Opbouwjaar]),0),1),0))</f>
        <v/>
      </c>
      <c r="S82">
        <f>IF([@Aanvullingsrechtig]="Ja",[@Beginsaldo]*[@Aanvulling_pu],0)</f>
        <v/>
      </c>
      <c r="T82">
        <f>IF(AND([@Opbouwjaar]&lt;&gt;"",[@Beginsaldo]&lt;&gt;0,OR([@Aanvullingsrechtig]="Ja",[@Aanvullingsrechtig]="Nee")),1,0)</f>
        <v/>
      </c>
    </row>
    <row r="83">
      <c r="O83">
        <f>LET(t,[@[Type verlof]],s,SEQUENCE(MAX(1,LEN(t)-3)),k,IFERROR(--MID(t,s,4),0),g,FILTER(k,(k&gt;=2000)*(k&lt;=2100),""),IFERROR(INDEX(g,1),""))</f>
        <v/>
      </c>
      <c r="P83">
        <f>LET(t,[@[Type verlof]],jj,[@Opbouwjaar],s,IF(jj="",t,SUBSTITUTE(t," "&amp;jj,"")),TRIM(s))</f>
        <v/>
      </c>
      <c r="Q83">
        <f>IF([@[Type verlof]]="","",IFERROR(XLOOKUP([@Basis_type],tblInstellingen[Basis verloftype],tblInstellingen[Aanvullingsrechtig]),"ONBEKEND"))</f>
        <v/>
      </c>
      <c r="R83">
        <f>IF(OR([@Opbouwjaar]="",[@[Type verlof]]=""),0,IFERROR(INDEX(FILTER(tblAanvulling[Totaalbedrag],(tblAanvulling[Mdw.]=[@[Mdw.]])*(tblAanvulling[Bkjr.]=[@Opbouwjaar]),0),1),0))</f>
        <v/>
      </c>
      <c r="S83">
        <f>IF([@Aanvullingsrechtig]="Ja",[@Beginsaldo]*[@Aanvulling_pu],0)</f>
        <v/>
      </c>
      <c r="T83">
        <f>IF(AND([@Opbouwjaar]&lt;&gt;"",[@Beginsaldo]&lt;&gt;0,OR([@Aanvullingsrechtig]="Ja",[@Aanvullingsrechtig]="Nee")),1,0)</f>
        <v/>
      </c>
    </row>
    <row r="84">
      <c r="O84">
        <f>LET(t,[@[Type verlof]],s,SEQUENCE(MAX(1,LEN(t)-3)),k,IFERROR(--MID(t,s,4),0),g,FILTER(k,(k&gt;=2000)*(k&lt;=2100),""),IFERROR(INDEX(g,1),""))</f>
        <v/>
      </c>
      <c r="P84">
        <f>LET(t,[@[Type verlof]],jj,[@Opbouwjaar],s,IF(jj="",t,SUBSTITUTE(t," "&amp;jj,"")),TRIM(s))</f>
        <v/>
      </c>
      <c r="Q84">
        <f>IF([@[Type verlof]]="","",IFERROR(XLOOKUP([@Basis_type],tblInstellingen[Basis verloftype],tblInstellingen[Aanvullingsrechtig]),"ONBEKEND"))</f>
        <v/>
      </c>
      <c r="R84">
        <f>IF(OR([@Opbouwjaar]="",[@[Type verlof]]=""),0,IFERROR(INDEX(FILTER(tblAanvulling[Totaalbedrag],(tblAanvulling[Mdw.]=[@[Mdw.]])*(tblAanvulling[Bkjr.]=[@Opbouwjaar]),0),1),0))</f>
        <v/>
      </c>
      <c r="S84">
        <f>IF([@Aanvullingsrechtig]="Ja",[@Beginsaldo]*[@Aanvulling_pu],0)</f>
        <v/>
      </c>
      <c r="T84">
        <f>IF(AND([@Opbouwjaar]&lt;&gt;"",[@Beginsaldo]&lt;&gt;0,OR([@Aanvullingsrechtig]="Ja",[@Aanvullingsrechtig]="Nee")),1,0)</f>
        <v/>
      </c>
    </row>
    <row r="85">
      <c r="O85">
        <f>LET(t,[@[Type verlof]],s,SEQUENCE(MAX(1,LEN(t)-3)),k,IFERROR(--MID(t,s,4),0),g,FILTER(k,(k&gt;=2000)*(k&lt;=2100),""),IFERROR(INDEX(g,1),""))</f>
        <v/>
      </c>
      <c r="P85">
        <f>LET(t,[@[Type verlof]],jj,[@Opbouwjaar],s,IF(jj="",t,SUBSTITUTE(t," "&amp;jj,"")),TRIM(s))</f>
        <v/>
      </c>
      <c r="Q85">
        <f>IF([@[Type verlof]]="","",IFERROR(XLOOKUP([@Basis_type],tblInstellingen[Basis verloftype],tblInstellingen[Aanvullingsrechtig]),"ONBEKEND"))</f>
        <v/>
      </c>
      <c r="R85">
        <f>IF(OR([@Opbouwjaar]="",[@[Type verlof]]=""),0,IFERROR(INDEX(FILTER(tblAanvulling[Totaalbedrag],(tblAanvulling[Mdw.]=[@[Mdw.]])*(tblAanvulling[Bkjr.]=[@Opbouwjaar]),0),1),0))</f>
        <v/>
      </c>
      <c r="S85">
        <f>IF([@Aanvullingsrechtig]="Ja",[@Beginsaldo]*[@Aanvulling_pu],0)</f>
        <v/>
      </c>
      <c r="T85">
        <f>IF(AND([@Opbouwjaar]&lt;&gt;"",[@Beginsaldo]&lt;&gt;0,OR([@Aanvullingsrechtig]="Ja",[@Aanvullingsrechtig]="Nee")),1,0)</f>
        <v/>
      </c>
    </row>
    <row r="86">
      <c r="O86">
        <f>LET(t,[@[Type verlof]],s,SEQUENCE(MAX(1,LEN(t)-3)),k,IFERROR(--MID(t,s,4),0),g,FILTER(k,(k&gt;=2000)*(k&lt;=2100),""),IFERROR(INDEX(g,1),""))</f>
        <v/>
      </c>
      <c r="P86">
        <f>LET(t,[@[Type verlof]],jj,[@Opbouwjaar],s,IF(jj="",t,SUBSTITUTE(t," "&amp;jj,"")),TRIM(s))</f>
        <v/>
      </c>
      <c r="Q86">
        <f>IF([@[Type verlof]]="","",IFERROR(XLOOKUP([@Basis_type],tblInstellingen[Basis verloftype],tblInstellingen[Aanvullingsrechtig]),"ONBEKEND"))</f>
        <v/>
      </c>
      <c r="R86">
        <f>IF(OR([@Opbouwjaar]="",[@[Type verlof]]=""),0,IFERROR(INDEX(FILTER(tblAanvulling[Totaalbedrag],(tblAanvulling[Mdw.]=[@[Mdw.]])*(tblAanvulling[Bkjr.]=[@Opbouwjaar]),0),1),0))</f>
        <v/>
      </c>
      <c r="S86">
        <f>IF([@Aanvullingsrechtig]="Ja",[@Beginsaldo]*[@Aanvulling_pu],0)</f>
        <v/>
      </c>
      <c r="T86">
        <f>IF(AND([@Opbouwjaar]&lt;&gt;"",[@Beginsaldo]&lt;&gt;0,OR([@Aanvullingsrechtig]="Ja",[@Aanvullingsrechtig]="Nee")),1,0)</f>
        <v/>
      </c>
    </row>
    <row r="87">
      <c r="O87">
        <f>LET(t,[@[Type verlof]],s,SEQUENCE(MAX(1,LEN(t)-3)),k,IFERROR(--MID(t,s,4),0),g,FILTER(k,(k&gt;=2000)*(k&lt;=2100),""),IFERROR(INDEX(g,1),""))</f>
        <v/>
      </c>
      <c r="P87">
        <f>LET(t,[@[Type verlof]],jj,[@Opbouwjaar],s,IF(jj="",t,SUBSTITUTE(t," "&amp;jj,"")),TRIM(s))</f>
        <v/>
      </c>
      <c r="Q87">
        <f>IF([@[Type verlof]]="","",IFERROR(XLOOKUP([@Basis_type],tblInstellingen[Basis verloftype],tblInstellingen[Aanvullingsrechtig]),"ONBEKEND"))</f>
        <v/>
      </c>
      <c r="R87">
        <f>IF(OR([@Opbouwjaar]="",[@[Type verlof]]=""),0,IFERROR(INDEX(FILTER(tblAanvulling[Totaalbedrag],(tblAanvulling[Mdw.]=[@[Mdw.]])*(tblAanvulling[Bkjr.]=[@Opbouwjaar]),0),1),0))</f>
        <v/>
      </c>
      <c r="S87">
        <f>IF([@Aanvullingsrechtig]="Ja",[@Beginsaldo]*[@Aanvulling_pu],0)</f>
        <v/>
      </c>
      <c r="T87">
        <f>IF(AND([@Opbouwjaar]&lt;&gt;"",[@Beginsaldo]&lt;&gt;0,OR([@Aanvullingsrechtig]="Ja",[@Aanvullingsrechtig]="Nee")),1,0)</f>
        <v/>
      </c>
    </row>
    <row r="88">
      <c r="O88">
        <f>LET(t,[@[Type verlof]],s,SEQUENCE(MAX(1,LEN(t)-3)),k,IFERROR(--MID(t,s,4),0),g,FILTER(k,(k&gt;=2000)*(k&lt;=2100),""),IFERROR(INDEX(g,1),""))</f>
        <v/>
      </c>
      <c r="P88">
        <f>LET(t,[@[Type verlof]],jj,[@Opbouwjaar],s,IF(jj="",t,SUBSTITUTE(t," "&amp;jj,"")),TRIM(s))</f>
        <v/>
      </c>
      <c r="Q88">
        <f>IF([@[Type verlof]]="","",IFERROR(XLOOKUP([@Basis_type],tblInstellingen[Basis verloftype],tblInstellingen[Aanvullingsrechtig]),"ONBEKEND"))</f>
        <v/>
      </c>
      <c r="R88">
        <f>IF(OR([@Opbouwjaar]="",[@[Type verlof]]=""),0,IFERROR(INDEX(FILTER(tblAanvulling[Totaalbedrag],(tblAanvulling[Mdw.]=[@[Mdw.]])*(tblAanvulling[Bkjr.]=[@Opbouwjaar]),0),1),0))</f>
        <v/>
      </c>
      <c r="S88">
        <f>IF([@Aanvullingsrechtig]="Ja",[@Beginsaldo]*[@Aanvulling_pu],0)</f>
        <v/>
      </c>
      <c r="T88">
        <f>IF(AND([@Opbouwjaar]&lt;&gt;"",[@Beginsaldo]&lt;&gt;0,OR([@Aanvullingsrechtig]="Ja",[@Aanvullingsrechtig]="Nee")),1,0)</f>
        <v/>
      </c>
    </row>
    <row r="89">
      <c r="O89">
        <f>LET(t,[@[Type verlof]],s,SEQUENCE(MAX(1,LEN(t)-3)),k,IFERROR(--MID(t,s,4),0),g,FILTER(k,(k&gt;=2000)*(k&lt;=2100),""),IFERROR(INDEX(g,1),""))</f>
        <v/>
      </c>
      <c r="P89">
        <f>LET(t,[@[Type verlof]],jj,[@Opbouwjaar],s,IF(jj="",t,SUBSTITUTE(t," "&amp;jj,"")),TRIM(s))</f>
        <v/>
      </c>
      <c r="Q89">
        <f>IF([@[Type verlof]]="","",IFERROR(XLOOKUP([@Basis_type],tblInstellingen[Basis verloftype],tblInstellingen[Aanvullingsrechtig]),"ONBEKEND"))</f>
        <v/>
      </c>
      <c r="R89">
        <f>IF(OR([@Opbouwjaar]="",[@[Type verlof]]=""),0,IFERROR(INDEX(FILTER(tblAanvulling[Totaalbedrag],(tblAanvulling[Mdw.]=[@[Mdw.]])*(tblAanvulling[Bkjr.]=[@Opbouwjaar]),0),1),0))</f>
        <v/>
      </c>
      <c r="S89">
        <f>IF([@Aanvullingsrechtig]="Ja",[@Beginsaldo]*[@Aanvulling_pu],0)</f>
        <v/>
      </c>
      <c r="T89">
        <f>IF(AND([@Opbouwjaar]&lt;&gt;"",[@Beginsaldo]&lt;&gt;0,OR([@Aanvullingsrechtig]="Ja",[@Aanvullingsrechtig]="Nee")),1,0)</f>
        <v/>
      </c>
    </row>
    <row r="90">
      <c r="O90">
        <f>LET(t,[@[Type verlof]],s,SEQUENCE(MAX(1,LEN(t)-3)),k,IFERROR(--MID(t,s,4),0),g,FILTER(k,(k&gt;=2000)*(k&lt;=2100),""),IFERROR(INDEX(g,1),""))</f>
        <v/>
      </c>
      <c r="P90">
        <f>LET(t,[@[Type verlof]],jj,[@Opbouwjaar],s,IF(jj="",t,SUBSTITUTE(t," "&amp;jj,"")),TRIM(s))</f>
        <v/>
      </c>
      <c r="Q90">
        <f>IF([@[Type verlof]]="","",IFERROR(XLOOKUP([@Basis_type],tblInstellingen[Basis verloftype],tblInstellingen[Aanvullingsrechtig]),"ONBEKEND"))</f>
        <v/>
      </c>
      <c r="R90">
        <f>IF(OR([@Opbouwjaar]="",[@[Type verlof]]=""),0,IFERROR(INDEX(FILTER(tblAanvulling[Totaalbedrag],(tblAanvulling[Mdw.]=[@[Mdw.]])*(tblAanvulling[Bkjr.]=[@Opbouwjaar]),0),1),0))</f>
        <v/>
      </c>
      <c r="S90">
        <f>IF([@Aanvullingsrechtig]="Ja",[@Beginsaldo]*[@Aanvulling_pu],0)</f>
        <v/>
      </c>
      <c r="T90">
        <f>IF(AND([@Opbouwjaar]&lt;&gt;"",[@Beginsaldo]&lt;&gt;0,OR([@Aanvullingsrechtig]="Ja",[@Aanvullingsrechtig]="Nee")),1,0)</f>
        <v/>
      </c>
    </row>
    <row r="91">
      <c r="O91">
        <f>LET(t,[@[Type verlof]],s,SEQUENCE(MAX(1,LEN(t)-3)),k,IFERROR(--MID(t,s,4),0),g,FILTER(k,(k&gt;=2000)*(k&lt;=2100),""),IFERROR(INDEX(g,1),""))</f>
        <v/>
      </c>
      <c r="P91">
        <f>LET(t,[@[Type verlof]],jj,[@Opbouwjaar],s,IF(jj="",t,SUBSTITUTE(t," "&amp;jj,"")),TRIM(s))</f>
        <v/>
      </c>
      <c r="Q91">
        <f>IF([@[Type verlof]]="","",IFERROR(XLOOKUP([@Basis_type],tblInstellingen[Basis verloftype],tblInstellingen[Aanvullingsrechtig]),"ONBEKEND"))</f>
        <v/>
      </c>
      <c r="R91">
        <f>IF(OR([@Opbouwjaar]="",[@[Type verlof]]=""),0,IFERROR(INDEX(FILTER(tblAanvulling[Totaalbedrag],(tblAanvulling[Mdw.]=[@[Mdw.]])*(tblAanvulling[Bkjr.]=[@Opbouwjaar]),0),1),0))</f>
        <v/>
      </c>
      <c r="S91">
        <f>IF([@Aanvullingsrechtig]="Ja",[@Beginsaldo]*[@Aanvulling_pu],0)</f>
        <v/>
      </c>
      <c r="T91">
        <f>IF(AND([@Opbouwjaar]&lt;&gt;"",[@Beginsaldo]&lt;&gt;0,OR([@Aanvullingsrechtig]="Ja",[@Aanvullingsrechtig]="Nee")),1,0)</f>
        <v/>
      </c>
    </row>
    <row r="92">
      <c r="O92">
        <f>LET(t,[@[Type verlof]],s,SEQUENCE(MAX(1,LEN(t)-3)),k,IFERROR(--MID(t,s,4),0),g,FILTER(k,(k&gt;=2000)*(k&lt;=2100),""),IFERROR(INDEX(g,1),""))</f>
        <v/>
      </c>
      <c r="P92">
        <f>LET(t,[@[Type verlof]],jj,[@Opbouwjaar],s,IF(jj="",t,SUBSTITUTE(t," "&amp;jj,"")),TRIM(s))</f>
        <v/>
      </c>
      <c r="Q92">
        <f>IF([@[Type verlof]]="","",IFERROR(XLOOKUP([@Basis_type],tblInstellingen[Basis verloftype],tblInstellingen[Aanvullingsrechtig]),"ONBEKEND"))</f>
        <v/>
      </c>
      <c r="R92">
        <f>IF(OR([@Opbouwjaar]="",[@[Type verlof]]=""),0,IFERROR(INDEX(FILTER(tblAanvulling[Totaalbedrag],(tblAanvulling[Mdw.]=[@[Mdw.]])*(tblAanvulling[Bkjr.]=[@Opbouwjaar]),0),1),0))</f>
        <v/>
      </c>
      <c r="S92">
        <f>IF([@Aanvullingsrechtig]="Ja",[@Beginsaldo]*[@Aanvulling_pu],0)</f>
        <v/>
      </c>
      <c r="T92">
        <f>IF(AND([@Opbouwjaar]&lt;&gt;"",[@Beginsaldo]&lt;&gt;0,OR([@Aanvullingsrechtig]="Ja",[@Aanvullingsrechtig]="Nee")),1,0)</f>
        <v/>
      </c>
    </row>
    <row r="93">
      <c r="O93">
        <f>LET(t,[@[Type verlof]],s,SEQUENCE(MAX(1,LEN(t)-3)),k,IFERROR(--MID(t,s,4),0),g,FILTER(k,(k&gt;=2000)*(k&lt;=2100),""),IFERROR(INDEX(g,1),""))</f>
        <v/>
      </c>
      <c r="P93">
        <f>LET(t,[@[Type verlof]],jj,[@Opbouwjaar],s,IF(jj="",t,SUBSTITUTE(t," "&amp;jj,"")),TRIM(s))</f>
        <v/>
      </c>
      <c r="Q93">
        <f>IF([@[Type verlof]]="","",IFERROR(XLOOKUP([@Basis_type],tblInstellingen[Basis verloftype],tblInstellingen[Aanvullingsrechtig]),"ONBEKEND"))</f>
        <v/>
      </c>
      <c r="R93">
        <f>IF(OR([@Opbouwjaar]="",[@[Type verlof]]=""),0,IFERROR(INDEX(FILTER(tblAanvulling[Totaalbedrag],(tblAanvulling[Mdw.]=[@[Mdw.]])*(tblAanvulling[Bkjr.]=[@Opbouwjaar]),0),1),0))</f>
        <v/>
      </c>
      <c r="S93">
        <f>IF([@Aanvullingsrechtig]="Ja",[@Beginsaldo]*[@Aanvulling_pu],0)</f>
        <v/>
      </c>
      <c r="T93">
        <f>IF(AND([@Opbouwjaar]&lt;&gt;"",[@Beginsaldo]&lt;&gt;0,OR([@Aanvullingsrechtig]="Ja",[@Aanvullingsrechtig]="Nee")),1,0)</f>
        <v/>
      </c>
    </row>
    <row r="94">
      <c r="O94">
        <f>LET(t,[@[Type verlof]],s,SEQUENCE(MAX(1,LEN(t)-3)),k,IFERROR(--MID(t,s,4),0),g,FILTER(k,(k&gt;=2000)*(k&lt;=2100),""),IFERROR(INDEX(g,1),""))</f>
        <v/>
      </c>
      <c r="P94">
        <f>LET(t,[@[Type verlof]],jj,[@Opbouwjaar],s,IF(jj="",t,SUBSTITUTE(t," "&amp;jj,"")),TRIM(s))</f>
        <v/>
      </c>
      <c r="Q94">
        <f>IF([@[Type verlof]]="","",IFERROR(XLOOKUP([@Basis_type],tblInstellingen[Basis verloftype],tblInstellingen[Aanvullingsrechtig]),"ONBEKEND"))</f>
        <v/>
      </c>
      <c r="R94">
        <f>IF(OR([@Opbouwjaar]="",[@[Type verlof]]=""),0,IFERROR(INDEX(FILTER(tblAanvulling[Totaalbedrag],(tblAanvulling[Mdw.]=[@[Mdw.]])*(tblAanvulling[Bkjr.]=[@Opbouwjaar]),0),1),0))</f>
        <v/>
      </c>
      <c r="S94">
        <f>IF([@Aanvullingsrechtig]="Ja",[@Beginsaldo]*[@Aanvulling_pu],0)</f>
        <v/>
      </c>
      <c r="T94">
        <f>IF(AND([@Opbouwjaar]&lt;&gt;"",[@Beginsaldo]&lt;&gt;0,OR([@Aanvullingsrechtig]="Ja",[@Aanvullingsrechtig]="Nee")),1,0)</f>
        <v/>
      </c>
    </row>
    <row r="95">
      <c r="O95">
        <f>LET(t,[@[Type verlof]],s,SEQUENCE(MAX(1,LEN(t)-3)),k,IFERROR(--MID(t,s,4),0),g,FILTER(k,(k&gt;=2000)*(k&lt;=2100),""),IFERROR(INDEX(g,1),""))</f>
        <v/>
      </c>
      <c r="P95">
        <f>LET(t,[@[Type verlof]],jj,[@Opbouwjaar],s,IF(jj="",t,SUBSTITUTE(t," "&amp;jj,"")),TRIM(s))</f>
        <v/>
      </c>
      <c r="Q95">
        <f>IF([@[Type verlof]]="","",IFERROR(XLOOKUP([@Basis_type],tblInstellingen[Basis verloftype],tblInstellingen[Aanvullingsrechtig]),"ONBEKEND"))</f>
        <v/>
      </c>
      <c r="R95">
        <f>IF(OR([@Opbouwjaar]="",[@[Type verlof]]=""),0,IFERROR(INDEX(FILTER(tblAanvulling[Totaalbedrag],(tblAanvulling[Mdw.]=[@[Mdw.]])*(tblAanvulling[Bkjr.]=[@Opbouwjaar]),0),1),0))</f>
        <v/>
      </c>
      <c r="S95">
        <f>IF([@Aanvullingsrechtig]="Ja",[@Beginsaldo]*[@Aanvulling_pu],0)</f>
        <v/>
      </c>
      <c r="T95">
        <f>IF(AND([@Opbouwjaar]&lt;&gt;"",[@Beginsaldo]&lt;&gt;0,OR([@Aanvullingsrechtig]="Ja",[@Aanvullingsrechtig]="Nee")),1,0)</f>
        <v/>
      </c>
    </row>
    <row r="96">
      <c r="O96">
        <f>LET(t,[@[Type verlof]],s,SEQUENCE(MAX(1,LEN(t)-3)),k,IFERROR(--MID(t,s,4),0),g,FILTER(k,(k&gt;=2000)*(k&lt;=2100),""),IFERROR(INDEX(g,1),""))</f>
        <v/>
      </c>
      <c r="P96">
        <f>LET(t,[@[Type verlof]],jj,[@Opbouwjaar],s,IF(jj="",t,SUBSTITUTE(t," "&amp;jj,"")),TRIM(s))</f>
        <v/>
      </c>
      <c r="Q96">
        <f>IF([@[Type verlof]]="","",IFERROR(XLOOKUP([@Basis_type],tblInstellingen[Basis verloftype],tblInstellingen[Aanvullingsrechtig]),"ONBEKEND"))</f>
        <v/>
      </c>
      <c r="R96">
        <f>IF(OR([@Opbouwjaar]="",[@[Type verlof]]=""),0,IFERROR(INDEX(FILTER(tblAanvulling[Totaalbedrag],(tblAanvulling[Mdw.]=[@[Mdw.]])*(tblAanvulling[Bkjr.]=[@Opbouwjaar]),0),1),0))</f>
        <v/>
      </c>
      <c r="S96">
        <f>IF([@Aanvullingsrechtig]="Ja",[@Beginsaldo]*[@Aanvulling_pu],0)</f>
        <v/>
      </c>
      <c r="T96">
        <f>IF(AND([@Opbouwjaar]&lt;&gt;"",[@Beginsaldo]&lt;&gt;0,OR([@Aanvullingsrechtig]="Ja",[@Aanvullingsrechtig]="Nee")),1,0)</f>
        <v/>
      </c>
    </row>
    <row r="97">
      <c r="O97">
        <f>LET(t,[@[Type verlof]],s,SEQUENCE(MAX(1,LEN(t)-3)),k,IFERROR(--MID(t,s,4),0),g,FILTER(k,(k&gt;=2000)*(k&lt;=2100),""),IFERROR(INDEX(g,1),""))</f>
        <v/>
      </c>
      <c r="P97">
        <f>LET(t,[@[Type verlof]],jj,[@Opbouwjaar],s,IF(jj="",t,SUBSTITUTE(t," "&amp;jj,"")),TRIM(s))</f>
        <v/>
      </c>
      <c r="Q97">
        <f>IF([@[Type verlof]]="","",IFERROR(XLOOKUP([@Basis_type],tblInstellingen[Basis verloftype],tblInstellingen[Aanvullingsrechtig]),"ONBEKEND"))</f>
        <v/>
      </c>
      <c r="R97">
        <f>IF(OR([@Opbouwjaar]="",[@[Type verlof]]=""),0,IFERROR(INDEX(FILTER(tblAanvulling[Totaalbedrag],(tblAanvulling[Mdw.]=[@[Mdw.]])*(tblAanvulling[Bkjr.]=[@Opbouwjaar]),0),1),0))</f>
        <v/>
      </c>
      <c r="S97">
        <f>IF([@Aanvullingsrechtig]="Ja",[@Beginsaldo]*[@Aanvulling_pu],0)</f>
        <v/>
      </c>
      <c r="T97">
        <f>IF(AND([@Opbouwjaar]&lt;&gt;"",[@Beginsaldo]&lt;&gt;0,OR([@Aanvullingsrechtig]="Ja",[@Aanvullingsrechtig]="Nee")),1,0)</f>
        <v/>
      </c>
    </row>
    <row r="98">
      <c r="O98">
        <f>LET(t,[@[Type verlof]],s,SEQUENCE(MAX(1,LEN(t)-3)),k,IFERROR(--MID(t,s,4),0),g,FILTER(k,(k&gt;=2000)*(k&lt;=2100),""),IFERROR(INDEX(g,1),""))</f>
        <v/>
      </c>
      <c r="P98">
        <f>LET(t,[@[Type verlof]],jj,[@Opbouwjaar],s,IF(jj="",t,SUBSTITUTE(t," "&amp;jj,"")),TRIM(s))</f>
        <v/>
      </c>
      <c r="Q98">
        <f>IF([@[Type verlof]]="","",IFERROR(XLOOKUP([@Basis_type],tblInstellingen[Basis verloftype],tblInstellingen[Aanvullingsrechtig]),"ONBEKEND"))</f>
        <v/>
      </c>
      <c r="R98">
        <f>IF(OR([@Opbouwjaar]="",[@[Type verlof]]=""),0,IFERROR(INDEX(FILTER(tblAanvulling[Totaalbedrag],(tblAanvulling[Mdw.]=[@[Mdw.]])*(tblAanvulling[Bkjr.]=[@Opbouwjaar]),0),1),0))</f>
        <v/>
      </c>
      <c r="S98">
        <f>IF([@Aanvullingsrechtig]="Ja",[@Beginsaldo]*[@Aanvulling_pu],0)</f>
        <v/>
      </c>
      <c r="T98">
        <f>IF(AND([@Opbouwjaar]&lt;&gt;"",[@Beginsaldo]&lt;&gt;0,OR([@Aanvullingsrechtig]="Ja",[@Aanvullingsrechtig]="Nee")),1,0)</f>
        <v/>
      </c>
    </row>
    <row r="99">
      <c r="O99">
        <f>LET(t,[@[Type verlof]],s,SEQUENCE(MAX(1,LEN(t)-3)),k,IFERROR(--MID(t,s,4),0),g,FILTER(k,(k&gt;=2000)*(k&lt;=2100),""),IFERROR(INDEX(g,1),""))</f>
        <v/>
      </c>
      <c r="P99">
        <f>LET(t,[@[Type verlof]],jj,[@Opbouwjaar],s,IF(jj="",t,SUBSTITUTE(t," "&amp;jj,"")),TRIM(s))</f>
        <v/>
      </c>
      <c r="Q99">
        <f>IF([@[Type verlof]]="","",IFERROR(XLOOKUP([@Basis_type],tblInstellingen[Basis verloftype],tblInstellingen[Aanvullingsrechtig]),"ONBEKEND"))</f>
        <v/>
      </c>
      <c r="R99">
        <f>IF(OR([@Opbouwjaar]="",[@[Type verlof]]=""),0,IFERROR(INDEX(FILTER(tblAanvulling[Totaalbedrag],(tblAanvulling[Mdw.]=[@[Mdw.]])*(tblAanvulling[Bkjr.]=[@Opbouwjaar]),0),1),0))</f>
        <v/>
      </c>
      <c r="S99">
        <f>IF([@Aanvullingsrechtig]="Ja",[@Beginsaldo]*[@Aanvulling_pu],0)</f>
        <v/>
      </c>
      <c r="T99">
        <f>IF(AND([@Opbouwjaar]&lt;&gt;"",[@Beginsaldo]&lt;&gt;0,OR([@Aanvullingsrechtig]="Ja",[@Aanvullingsrechtig]="Nee")),1,0)</f>
        <v/>
      </c>
    </row>
    <row r="100">
      <c r="O100">
        <f>LET(t,[@[Type verlof]],s,SEQUENCE(MAX(1,LEN(t)-3)),k,IFERROR(--MID(t,s,4),0),g,FILTER(k,(k&gt;=2000)*(k&lt;=2100),""),IFERROR(INDEX(g,1),""))</f>
        <v/>
      </c>
      <c r="P100">
        <f>LET(t,[@[Type verlof]],jj,[@Opbouwjaar],s,IF(jj="",t,SUBSTITUTE(t," "&amp;jj,"")),TRIM(s))</f>
        <v/>
      </c>
      <c r="Q100">
        <f>IF([@[Type verlof]]="","",IFERROR(XLOOKUP([@Basis_type],tblInstellingen[Basis verloftype],tblInstellingen[Aanvullingsrechtig]),"ONBEKEND"))</f>
        <v/>
      </c>
      <c r="R100">
        <f>IF(OR([@Opbouwjaar]="",[@[Type verlof]]=""),0,IFERROR(INDEX(FILTER(tblAanvulling[Totaalbedrag],(tblAanvulling[Mdw.]=[@[Mdw.]])*(tblAanvulling[Bkjr.]=[@Opbouwjaar]),0),1),0))</f>
        <v/>
      </c>
      <c r="S100">
        <f>IF([@Aanvullingsrechtig]="Ja",[@Beginsaldo]*[@Aanvulling_pu],0)</f>
        <v/>
      </c>
      <c r="T100">
        <f>IF(AND([@Opbouwjaar]&lt;&gt;"",[@Beginsaldo]&lt;&gt;0,OR([@Aanvullingsrechtig]="Ja",[@Aanvullingsrechtig]="Nee")),1,0)</f>
        <v/>
      </c>
    </row>
    <row r="101">
      <c r="O101">
        <f>LET(t,[@[Type verlof]],s,SEQUENCE(MAX(1,LEN(t)-3)),k,IFERROR(--MID(t,s,4),0),g,FILTER(k,(k&gt;=2000)*(k&lt;=2100),""),IFERROR(INDEX(g,1),""))</f>
        <v/>
      </c>
      <c r="P101">
        <f>LET(t,[@[Type verlof]],jj,[@Opbouwjaar],s,IF(jj="",t,SUBSTITUTE(t," "&amp;jj,"")),TRIM(s))</f>
        <v/>
      </c>
      <c r="Q101">
        <f>IF([@[Type verlof]]="","",IFERROR(XLOOKUP([@Basis_type],tblInstellingen[Basis verloftype],tblInstellingen[Aanvullingsrechtig]),"ONBEKEND"))</f>
        <v/>
      </c>
      <c r="R101">
        <f>IF(OR([@Opbouwjaar]="",[@[Type verlof]]=""),0,IFERROR(INDEX(FILTER(tblAanvulling[Totaalbedrag],(tblAanvulling[Mdw.]=[@[Mdw.]])*(tblAanvulling[Bkjr.]=[@Opbouwjaar]),0),1),0))</f>
        <v/>
      </c>
      <c r="S101">
        <f>IF([@Aanvullingsrechtig]="Ja",[@Beginsaldo]*[@Aanvulling_pu],0)</f>
        <v/>
      </c>
      <c r="T101">
        <f>IF(AND([@Opbouwjaar]&lt;&gt;"",[@Beginsaldo]&lt;&gt;0,OR([@Aanvullingsrechtig]="Ja",[@Aanvullingsrechtig]="Nee")),1,0)</f>
        <v/>
      </c>
    </row>
    <row r="102">
      <c r="O102">
        <f>LET(t,[@[Type verlof]],s,SEQUENCE(MAX(1,LEN(t)-3)),k,IFERROR(--MID(t,s,4),0),g,FILTER(k,(k&gt;=2000)*(k&lt;=2100),""),IFERROR(INDEX(g,1),""))</f>
        <v/>
      </c>
      <c r="P102">
        <f>LET(t,[@[Type verlof]],jj,[@Opbouwjaar],s,IF(jj="",t,SUBSTITUTE(t," "&amp;jj,"")),TRIM(s))</f>
        <v/>
      </c>
      <c r="Q102">
        <f>IF([@[Type verlof]]="","",IFERROR(XLOOKUP([@Basis_type],tblInstellingen[Basis verloftype],tblInstellingen[Aanvullingsrechtig]),"ONBEKEND"))</f>
        <v/>
      </c>
      <c r="R102">
        <f>IF(OR([@Opbouwjaar]="",[@[Type verlof]]=""),0,IFERROR(INDEX(FILTER(tblAanvulling[Totaalbedrag],(tblAanvulling[Mdw.]=[@[Mdw.]])*(tblAanvulling[Bkjr.]=[@Opbouwjaar]),0),1),0))</f>
        <v/>
      </c>
      <c r="S102">
        <f>IF([@Aanvullingsrechtig]="Ja",[@Beginsaldo]*[@Aanvulling_pu],0)</f>
        <v/>
      </c>
      <c r="T102">
        <f>IF(AND([@Opbouwjaar]&lt;&gt;"",[@Beginsaldo]&lt;&gt;0,OR([@Aanvullingsrechtig]="Ja",[@Aanvullingsrechtig]="Nee")),1,0)</f>
        <v/>
      </c>
    </row>
    <row r="103">
      <c r="O103">
        <f>LET(t,[@[Type verlof]],s,SEQUENCE(MAX(1,LEN(t)-3)),k,IFERROR(--MID(t,s,4),0),g,FILTER(k,(k&gt;=2000)*(k&lt;=2100),""),IFERROR(INDEX(g,1),""))</f>
        <v/>
      </c>
      <c r="P103">
        <f>LET(t,[@[Type verlof]],jj,[@Opbouwjaar],s,IF(jj="",t,SUBSTITUTE(t," "&amp;jj,"")),TRIM(s))</f>
        <v/>
      </c>
      <c r="Q103">
        <f>IF([@[Type verlof]]="","",IFERROR(XLOOKUP([@Basis_type],tblInstellingen[Basis verloftype],tblInstellingen[Aanvullingsrechtig]),"ONBEKEND"))</f>
        <v/>
      </c>
      <c r="R103">
        <f>IF(OR([@Opbouwjaar]="",[@[Type verlof]]=""),0,IFERROR(INDEX(FILTER(tblAanvulling[Totaalbedrag],(tblAanvulling[Mdw.]=[@[Mdw.]])*(tblAanvulling[Bkjr.]=[@Opbouwjaar]),0),1),0))</f>
        <v/>
      </c>
      <c r="S103">
        <f>IF([@Aanvullingsrechtig]="Ja",[@Beginsaldo]*[@Aanvulling_pu],0)</f>
        <v/>
      </c>
      <c r="T103">
        <f>IF(AND([@Opbouwjaar]&lt;&gt;"",[@Beginsaldo]&lt;&gt;0,OR([@Aanvullingsrechtig]="Ja",[@Aanvullingsrechtig]="Nee")),1,0)</f>
        <v/>
      </c>
    </row>
    <row r="104">
      <c r="O104">
        <f>LET(t,[@[Type verlof]],s,SEQUENCE(MAX(1,LEN(t)-3)),k,IFERROR(--MID(t,s,4),0),g,FILTER(k,(k&gt;=2000)*(k&lt;=2100),""),IFERROR(INDEX(g,1),""))</f>
        <v/>
      </c>
      <c r="P104">
        <f>LET(t,[@[Type verlof]],jj,[@Opbouwjaar],s,IF(jj="",t,SUBSTITUTE(t," "&amp;jj,"")),TRIM(s))</f>
        <v/>
      </c>
      <c r="Q104">
        <f>IF([@[Type verlof]]="","",IFERROR(XLOOKUP([@Basis_type],tblInstellingen[Basis verloftype],tblInstellingen[Aanvullingsrechtig]),"ONBEKEND"))</f>
        <v/>
      </c>
      <c r="R104">
        <f>IF(OR([@Opbouwjaar]="",[@[Type verlof]]=""),0,IFERROR(INDEX(FILTER(tblAanvulling[Totaalbedrag],(tblAanvulling[Mdw.]=[@[Mdw.]])*(tblAanvulling[Bkjr.]=[@Opbouwjaar]),0),1),0))</f>
        <v/>
      </c>
      <c r="S104">
        <f>IF([@Aanvullingsrechtig]="Ja",[@Beginsaldo]*[@Aanvulling_pu],0)</f>
        <v/>
      </c>
      <c r="T104">
        <f>IF(AND([@Opbouwjaar]&lt;&gt;"",[@Beginsaldo]&lt;&gt;0,OR([@Aanvullingsrechtig]="Ja",[@Aanvullingsrechtig]="Nee")),1,0)</f>
        <v/>
      </c>
    </row>
    <row r="105">
      <c r="O105">
        <f>LET(t,[@[Type verlof]],s,SEQUENCE(MAX(1,LEN(t)-3)),k,IFERROR(--MID(t,s,4),0),g,FILTER(k,(k&gt;=2000)*(k&lt;=2100),""),IFERROR(INDEX(g,1),""))</f>
        <v/>
      </c>
      <c r="P105">
        <f>LET(t,[@[Type verlof]],jj,[@Opbouwjaar],s,IF(jj="",t,SUBSTITUTE(t," "&amp;jj,"")),TRIM(s))</f>
        <v/>
      </c>
      <c r="Q105">
        <f>IF([@[Type verlof]]="","",IFERROR(XLOOKUP([@Basis_type],tblInstellingen[Basis verloftype],tblInstellingen[Aanvullingsrechtig]),"ONBEKEND"))</f>
        <v/>
      </c>
      <c r="R105">
        <f>IF(OR([@Opbouwjaar]="",[@[Type verlof]]=""),0,IFERROR(INDEX(FILTER(tblAanvulling[Totaalbedrag],(tblAanvulling[Mdw.]=[@[Mdw.]])*(tblAanvulling[Bkjr.]=[@Opbouwjaar]),0),1),0))</f>
        <v/>
      </c>
      <c r="S105">
        <f>IF([@Aanvullingsrechtig]="Ja",[@Beginsaldo]*[@Aanvulling_pu],0)</f>
        <v/>
      </c>
      <c r="T105">
        <f>IF(AND([@Opbouwjaar]&lt;&gt;"",[@Beginsaldo]&lt;&gt;0,OR([@Aanvullingsrechtig]="Ja",[@Aanvullingsrechtig]="Nee")),1,0)</f>
        <v/>
      </c>
    </row>
    <row r="106">
      <c r="O106">
        <f>LET(t,[@[Type verlof]],s,SEQUENCE(MAX(1,LEN(t)-3)),k,IFERROR(--MID(t,s,4),0),g,FILTER(k,(k&gt;=2000)*(k&lt;=2100),""),IFERROR(INDEX(g,1),""))</f>
        <v/>
      </c>
      <c r="P106">
        <f>LET(t,[@[Type verlof]],jj,[@Opbouwjaar],s,IF(jj="",t,SUBSTITUTE(t," "&amp;jj,"")),TRIM(s))</f>
        <v/>
      </c>
      <c r="Q106">
        <f>IF([@[Type verlof]]="","",IFERROR(XLOOKUP([@Basis_type],tblInstellingen[Basis verloftype],tblInstellingen[Aanvullingsrechtig]),"ONBEKEND"))</f>
        <v/>
      </c>
      <c r="R106">
        <f>IF(OR([@Opbouwjaar]="",[@[Type verlof]]=""),0,IFERROR(INDEX(FILTER(tblAanvulling[Totaalbedrag],(tblAanvulling[Mdw.]=[@[Mdw.]])*(tblAanvulling[Bkjr.]=[@Opbouwjaar]),0),1),0))</f>
        <v/>
      </c>
      <c r="S106">
        <f>IF([@Aanvullingsrechtig]="Ja",[@Beginsaldo]*[@Aanvulling_pu],0)</f>
        <v/>
      </c>
      <c r="T106">
        <f>IF(AND([@Opbouwjaar]&lt;&gt;"",[@Beginsaldo]&lt;&gt;0,OR([@Aanvullingsrechtig]="Ja",[@Aanvullingsrechtig]="Nee")),1,0)</f>
        <v/>
      </c>
    </row>
    <row r="107">
      <c r="O107">
        <f>LET(t,[@[Type verlof]],s,SEQUENCE(MAX(1,LEN(t)-3)),k,IFERROR(--MID(t,s,4),0),g,FILTER(k,(k&gt;=2000)*(k&lt;=2100),""),IFERROR(INDEX(g,1),""))</f>
        <v/>
      </c>
      <c r="P107">
        <f>LET(t,[@[Type verlof]],jj,[@Opbouwjaar],s,IF(jj="",t,SUBSTITUTE(t," "&amp;jj,"")),TRIM(s))</f>
        <v/>
      </c>
      <c r="Q107">
        <f>IF([@[Type verlof]]="","",IFERROR(XLOOKUP([@Basis_type],tblInstellingen[Basis verloftype],tblInstellingen[Aanvullingsrechtig]),"ONBEKEND"))</f>
        <v/>
      </c>
      <c r="R107">
        <f>IF(OR([@Opbouwjaar]="",[@[Type verlof]]=""),0,IFERROR(INDEX(FILTER(tblAanvulling[Totaalbedrag],(tblAanvulling[Mdw.]=[@[Mdw.]])*(tblAanvulling[Bkjr.]=[@Opbouwjaar]),0),1),0))</f>
        <v/>
      </c>
      <c r="S107">
        <f>IF([@Aanvullingsrechtig]="Ja",[@Beginsaldo]*[@Aanvulling_pu],0)</f>
        <v/>
      </c>
      <c r="T107">
        <f>IF(AND([@Opbouwjaar]&lt;&gt;"",[@Beginsaldo]&lt;&gt;0,OR([@Aanvullingsrechtig]="Ja",[@Aanvullingsrechtig]="Nee")),1,0)</f>
        <v/>
      </c>
    </row>
    <row r="108">
      <c r="O108">
        <f>LET(t,[@[Type verlof]],s,SEQUENCE(MAX(1,LEN(t)-3)),k,IFERROR(--MID(t,s,4),0),g,FILTER(k,(k&gt;=2000)*(k&lt;=2100),""),IFERROR(INDEX(g,1),""))</f>
        <v/>
      </c>
      <c r="P108">
        <f>LET(t,[@[Type verlof]],jj,[@Opbouwjaar],s,IF(jj="",t,SUBSTITUTE(t," "&amp;jj,"")),TRIM(s))</f>
        <v/>
      </c>
      <c r="Q108">
        <f>IF([@[Type verlof]]="","",IFERROR(XLOOKUP([@Basis_type],tblInstellingen[Basis verloftype],tblInstellingen[Aanvullingsrechtig]),"ONBEKEND"))</f>
        <v/>
      </c>
      <c r="R108">
        <f>IF(OR([@Opbouwjaar]="",[@[Type verlof]]=""),0,IFERROR(INDEX(FILTER(tblAanvulling[Totaalbedrag],(tblAanvulling[Mdw.]=[@[Mdw.]])*(tblAanvulling[Bkjr.]=[@Opbouwjaar]),0),1),0))</f>
        <v/>
      </c>
      <c r="S108">
        <f>IF([@Aanvullingsrechtig]="Ja",[@Beginsaldo]*[@Aanvulling_pu],0)</f>
        <v/>
      </c>
      <c r="T108">
        <f>IF(AND([@Opbouwjaar]&lt;&gt;"",[@Beginsaldo]&lt;&gt;0,OR([@Aanvullingsrechtig]="Ja",[@Aanvullingsrechtig]="Nee")),1,0)</f>
        <v/>
      </c>
    </row>
    <row r="109">
      <c r="O109">
        <f>LET(t,[@[Type verlof]],s,SEQUENCE(MAX(1,LEN(t)-3)),k,IFERROR(--MID(t,s,4),0),g,FILTER(k,(k&gt;=2000)*(k&lt;=2100),""),IFERROR(INDEX(g,1),""))</f>
        <v/>
      </c>
      <c r="P109">
        <f>LET(t,[@[Type verlof]],jj,[@Opbouwjaar],s,IF(jj="",t,SUBSTITUTE(t," "&amp;jj,"")),TRIM(s))</f>
        <v/>
      </c>
      <c r="Q109">
        <f>IF([@[Type verlof]]="","",IFERROR(XLOOKUP([@Basis_type],tblInstellingen[Basis verloftype],tblInstellingen[Aanvullingsrechtig]),"ONBEKEND"))</f>
        <v/>
      </c>
      <c r="R109">
        <f>IF(OR([@Opbouwjaar]="",[@[Type verlof]]=""),0,IFERROR(INDEX(FILTER(tblAanvulling[Totaalbedrag],(tblAanvulling[Mdw.]=[@[Mdw.]])*(tblAanvulling[Bkjr.]=[@Opbouwjaar]),0),1),0))</f>
        <v/>
      </c>
      <c r="S109">
        <f>IF([@Aanvullingsrechtig]="Ja",[@Beginsaldo]*[@Aanvulling_pu],0)</f>
        <v/>
      </c>
      <c r="T109">
        <f>IF(AND([@Opbouwjaar]&lt;&gt;"",[@Beginsaldo]&lt;&gt;0,OR([@Aanvullingsrechtig]="Ja",[@Aanvullingsrechtig]="Nee")),1,0)</f>
        <v/>
      </c>
    </row>
    <row r="110">
      <c r="O110">
        <f>LET(t,[@[Type verlof]],s,SEQUENCE(MAX(1,LEN(t)-3)),k,IFERROR(--MID(t,s,4),0),g,FILTER(k,(k&gt;=2000)*(k&lt;=2100),""),IFERROR(INDEX(g,1),""))</f>
        <v/>
      </c>
      <c r="P110">
        <f>LET(t,[@[Type verlof]],jj,[@Opbouwjaar],s,IF(jj="",t,SUBSTITUTE(t," "&amp;jj,"")),TRIM(s))</f>
        <v/>
      </c>
      <c r="Q110">
        <f>IF([@[Type verlof]]="","",IFERROR(XLOOKUP([@Basis_type],tblInstellingen[Basis verloftype],tblInstellingen[Aanvullingsrechtig]),"ONBEKEND"))</f>
        <v/>
      </c>
      <c r="R110">
        <f>IF(OR([@Opbouwjaar]="",[@[Type verlof]]=""),0,IFERROR(INDEX(FILTER(tblAanvulling[Totaalbedrag],(tblAanvulling[Mdw.]=[@[Mdw.]])*(tblAanvulling[Bkjr.]=[@Opbouwjaar]),0),1),0))</f>
        <v/>
      </c>
      <c r="S110">
        <f>IF([@Aanvullingsrechtig]="Ja",[@Beginsaldo]*[@Aanvulling_pu],0)</f>
        <v/>
      </c>
      <c r="T110">
        <f>IF(AND([@Opbouwjaar]&lt;&gt;"",[@Beginsaldo]&lt;&gt;0,OR([@Aanvullingsrechtig]="Ja",[@Aanvullingsrechtig]="Nee")),1,0)</f>
        <v/>
      </c>
    </row>
    <row r="111">
      <c r="O111">
        <f>LET(t,[@[Type verlof]],s,SEQUENCE(MAX(1,LEN(t)-3)),k,IFERROR(--MID(t,s,4),0),g,FILTER(k,(k&gt;=2000)*(k&lt;=2100),""),IFERROR(INDEX(g,1),""))</f>
        <v/>
      </c>
      <c r="P111">
        <f>LET(t,[@[Type verlof]],jj,[@Opbouwjaar],s,IF(jj="",t,SUBSTITUTE(t," "&amp;jj,"")),TRIM(s))</f>
        <v/>
      </c>
      <c r="Q111">
        <f>IF([@[Type verlof]]="","",IFERROR(XLOOKUP([@Basis_type],tblInstellingen[Basis verloftype],tblInstellingen[Aanvullingsrechtig]),"ONBEKEND"))</f>
        <v/>
      </c>
      <c r="R111">
        <f>IF(OR([@Opbouwjaar]="",[@[Type verlof]]=""),0,IFERROR(INDEX(FILTER(tblAanvulling[Totaalbedrag],(tblAanvulling[Mdw.]=[@[Mdw.]])*(tblAanvulling[Bkjr.]=[@Opbouwjaar]),0),1),0))</f>
        <v/>
      </c>
      <c r="S111">
        <f>IF([@Aanvullingsrechtig]="Ja",[@Beginsaldo]*[@Aanvulling_pu],0)</f>
        <v/>
      </c>
      <c r="T111">
        <f>IF(AND([@Opbouwjaar]&lt;&gt;"",[@Beginsaldo]&lt;&gt;0,OR([@Aanvullingsrechtig]="Ja",[@Aanvullingsrechtig]="Nee")),1,0)</f>
        <v/>
      </c>
    </row>
    <row r="112">
      <c r="O112">
        <f>LET(t,[@[Type verlof]],s,SEQUENCE(MAX(1,LEN(t)-3)),k,IFERROR(--MID(t,s,4),0),g,FILTER(k,(k&gt;=2000)*(k&lt;=2100),""),IFERROR(INDEX(g,1),""))</f>
        <v/>
      </c>
      <c r="P112">
        <f>LET(t,[@[Type verlof]],jj,[@Opbouwjaar],s,IF(jj="",t,SUBSTITUTE(t," "&amp;jj,"")),TRIM(s))</f>
        <v/>
      </c>
      <c r="Q112">
        <f>IF([@[Type verlof]]="","",IFERROR(XLOOKUP([@Basis_type],tblInstellingen[Basis verloftype],tblInstellingen[Aanvullingsrechtig]),"ONBEKEND"))</f>
        <v/>
      </c>
      <c r="R112">
        <f>IF(OR([@Opbouwjaar]="",[@[Type verlof]]=""),0,IFERROR(INDEX(FILTER(tblAanvulling[Totaalbedrag],(tblAanvulling[Mdw.]=[@[Mdw.]])*(tblAanvulling[Bkjr.]=[@Opbouwjaar]),0),1),0))</f>
        <v/>
      </c>
      <c r="S112">
        <f>IF([@Aanvullingsrechtig]="Ja",[@Beginsaldo]*[@Aanvulling_pu],0)</f>
        <v/>
      </c>
      <c r="T112">
        <f>IF(AND([@Opbouwjaar]&lt;&gt;"",[@Beginsaldo]&lt;&gt;0,OR([@Aanvullingsrechtig]="Ja",[@Aanvullingsrechtig]="Nee")),1,0)</f>
        <v/>
      </c>
    </row>
    <row r="113">
      <c r="O113">
        <f>LET(t,[@[Type verlof]],s,SEQUENCE(MAX(1,LEN(t)-3)),k,IFERROR(--MID(t,s,4),0),g,FILTER(k,(k&gt;=2000)*(k&lt;=2100),""),IFERROR(INDEX(g,1),""))</f>
        <v/>
      </c>
      <c r="P113">
        <f>LET(t,[@[Type verlof]],jj,[@Opbouwjaar],s,IF(jj="",t,SUBSTITUTE(t," "&amp;jj,"")),TRIM(s))</f>
        <v/>
      </c>
      <c r="Q113">
        <f>IF([@[Type verlof]]="","",IFERROR(XLOOKUP([@Basis_type],tblInstellingen[Basis verloftype],tblInstellingen[Aanvullingsrechtig]),"ONBEKEND"))</f>
        <v/>
      </c>
      <c r="R113">
        <f>IF(OR([@Opbouwjaar]="",[@[Type verlof]]=""),0,IFERROR(INDEX(FILTER(tblAanvulling[Totaalbedrag],(tblAanvulling[Mdw.]=[@[Mdw.]])*(tblAanvulling[Bkjr.]=[@Opbouwjaar]),0),1),0))</f>
        <v/>
      </c>
      <c r="S113">
        <f>IF([@Aanvullingsrechtig]="Ja",[@Beginsaldo]*[@Aanvulling_pu],0)</f>
        <v/>
      </c>
      <c r="T113">
        <f>IF(AND([@Opbouwjaar]&lt;&gt;"",[@Beginsaldo]&lt;&gt;0,OR([@Aanvullingsrechtig]="Ja",[@Aanvullingsrechtig]="Nee")),1,0)</f>
        <v/>
      </c>
    </row>
    <row r="114">
      <c r="O114">
        <f>LET(t,[@[Type verlof]],s,SEQUENCE(MAX(1,LEN(t)-3)),k,IFERROR(--MID(t,s,4),0),g,FILTER(k,(k&gt;=2000)*(k&lt;=2100),""),IFERROR(INDEX(g,1),""))</f>
        <v/>
      </c>
      <c r="P114">
        <f>LET(t,[@[Type verlof]],jj,[@Opbouwjaar],s,IF(jj="",t,SUBSTITUTE(t," "&amp;jj,"")),TRIM(s))</f>
        <v/>
      </c>
      <c r="Q114">
        <f>IF([@[Type verlof]]="","",IFERROR(XLOOKUP([@Basis_type],tblInstellingen[Basis verloftype],tblInstellingen[Aanvullingsrechtig]),"ONBEKEND"))</f>
        <v/>
      </c>
      <c r="R114">
        <f>IF(OR([@Opbouwjaar]="",[@[Type verlof]]=""),0,IFERROR(INDEX(FILTER(tblAanvulling[Totaalbedrag],(tblAanvulling[Mdw.]=[@[Mdw.]])*(tblAanvulling[Bkjr.]=[@Opbouwjaar]),0),1),0))</f>
        <v/>
      </c>
      <c r="S114">
        <f>IF([@Aanvullingsrechtig]="Ja",[@Beginsaldo]*[@Aanvulling_pu],0)</f>
        <v/>
      </c>
      <c r="T114">
        <f>IF(AND([@Opbouwjaar]&lt;&gt;"",[@Beginsaldo]&lt;&gt;0,OR([@Aanvullingsrechtig]="Ja",[@Aanvullingsrechtig]="Nee")),1,0)</f>
        <v/>
      </c>
    </row>
    <row r="115">
      <c r="O115">
        <f>LET(t,[@[Type verlof]],s,SEQUENCE(MAX(1,LEN(t)-3)),k,IFERROR(--MID(t,s,4),0),g,FILTER(k,(k&gt;=2000)*(k&lt;=2100),""),IFERROR(INDEX(g,1),""))</f>
        <v/>
      </c>
      <c r="P115">
        <f>LET(t,[@[Type verlof]],jj,[@Opbouwjaar],s,IF(jj="",t,SUBSTITUTE(t," "&amp;jj,"")),TRIM(s))</f>
        <v/>
      </c>
      <c r="Q115">
        <f>IF([@[Type verlof]]="","",IFERROR(XLOOKUP([@Basis_type],tblInstellingen[Basis verloftype],tblInstellingen[Aanvullingsrechtig]),"ONBEKEND"))</f>
        <v/>
      </c>
      <c r="R115">
        <f>IF(OR([@Opbouwjaar]="",[@[Type verlof]]=""),0,IFERROR(INDEX(FILTER(tblAanvulling[Totaalbedrag],(tblAanvulling[Mdw.]=[@[Mdw.]])*(tblAanvulling[Bkjr.]=[@Opbouwjaar]),0),1),0))</f>
        <v/>
      </c>
      <c r="S115">
        <f>IF([@Aanvullingsrechtig]="Ja",[@Beginsaldo]*[@Aanvulling_pu],0)</f>
        <v/>
      </c>
      <c r="T115">
        <f>IF(AND([@Opbouwjaar]&lt;&gt;"",[@Beginsaldo]&lt;&gt;0,OR([@Aanvullingsrechtig]="Ja",[@Aanvullingsrechtig]="Nee")),1,0)</f>
        <v/>
      </c>
    </row>
    <row r="116">
      <c r="O116">
        <f>LET(t,[@[Type verlof]],s,SEQUENCE(MAX(1,LEN(t)-3)),k,IFERROR(--MID(t,s,4),0),g,FILTER(k,(k&gt;=2000)*(k&lt;=2100),""),IFERROR(INDEX(g,1),""))</f>
        <v/>
      </c>
      <c r="P116">
        <f>LET(t,[@[Type verlof]],jj,[@Opbouwjaar],s,IF(jj="",t,SUBSTITUTE(t," "&amp;jj,"")),TRIM(s))</f>
        <v/>
      </c>
      <c r="Q116">
        <f>IF([@[Type verlof]]="","",IFERROR(XLOOKUP([@Basis_type],tblInstellingen[Basis verloftype],tblInstellingen[Aanvullingsrechtig]),"ONBEKEND"))</f>
        <v/>
      </c>
      <c r="R116">
        <f>IF(OR([@Opbouwjaar]="",[@[Type verlof]]=""),0,IFERROR(INDEX(FILTER(tblAanvulling[Totaalbedrag],(tblAanvulling[Mdw.]=[@[Mdw.]])*(tblAanvulling[Bkjr.]=[@Opbouwjaar]),0),1),0))</f>
        <v/>
      </c>
      <c r="S116">
        <f>IF([@Aanvullingsrechtig]="Ja",[@Beginsaldo]*[@Aanvulling_pu],0)</f>
        <v/>
      </c>
      <c r="T116">
        <f>IF(AND([@Opbouwjaar]&lt;&gt;"",[@Beginsaldo]&lt;&gt;0,OR([@Aanvullingsrechtig]="Ja",[@Aanvullingsrechtig]="Nee")),1,0)</f>
        <v/>
      </c>
    </row>
    <row r="117">
      <c r="O117">
        <f>LET(t,[@[Type verlof]],s,SEQUENCE(MAX(1,LEN(t)-3)),k,IFERROR(--MID(t,s,4),0),g,FILTER(k,(k&gt;=2000)*(k&lt;=2100),""),IFERROR(INDEX(g,1),""))</f>
        <v/>
      </c>
      <c r="P117">
        <f>LET(t,[@[Type verlof]],jj,[@Opbouwjaar],s,IF(jj="",t,SUBSTITUTE(t," "&amp;jj,"")),TRIM(s))</f>
        <v/>
      </c>
      <c r="Q117">
        <f>IF([@[Type verlof]]="","",IFERROR(XLOOKUP([@Basis_type],tblInstellingen[Basis verloftype],tblInstellingen[Aanvullingsrechtig]),"ONBEKEND"))</f>
        <v/>
      </c>
      <c r="R117">
        <f>IF(OR([@Opbouwjaar]="",[@[Type verlof]]=""),0,IFERROR(INDEX(FILTER(tblAanvulling[Totaalbedrag],(tblAanvulling[Mdw.]=[@[Mdw.]])*(tblAanvulling[Bkjr.]=[@Opbouwjaar]),0),1),0))</f>
        <v/>
      </c>
      <c r="S117">
        <f>IF([@Aanvullingsrechtig]="Ja",[@Beginsaldo]*[@Aanvulling_pu],0)</f>
        <v/>
      </c>
      <c r="T117">
        <f>IF(AND([@Opbouwjaar]&lt;&gt;"",[@Beginsaldo]&lt;&gt;0,OR([@Aanvullingsrechtig]="Ja",[@Aanvullingsrechtig]="Nee")),1,0)</f>
        <v/>
      </c>
    </row>
    <row r="118">
      <c r="O118">
        <f>LET(t,[@[Type verlof]],s,SEQUENCE(MAX(1,LEN(t)-3)),k,IFERROR(--MID(t,s,4),0),g,FILTER(k,(k&gt;=2000)*(k&lt;=2100),""),IFERROR(INDEX(g,1),""))</f>
        <v/>
      </c>
      <c r="P118">
        <f>LET(t,[@[Type verlof]],jj,[@Opbouwjaar],s,IF(jj="",t,SUBSTITUTE(t," "&amp;jj,"")),TRIM(s))</f>
        <v/>
      </c>
      <c r="Q118">
        <f>IF([@[Type verlof]]="","",IFERROR(XLOOKUP([@Basis_type],tblInstellingen[Basis verloftype],tblInstellingen[Aanvullingsrechtig]),"ONBEKEND"))</f>
        <v/>
      </c>
      <c r="R118">
        <f>IF(OR([@Opbouwjaar]="",[@[Type verlof]]=""),0,IFERROR(INDEX(FILTER(tblAanvulling[Totaalbedrag],(tblAanvulling[Mdw.]=[@[Mdw.]])*(tblAanvulling[Bkjr.]=[@Opbouwjaar]),0),1),0))</f>
        <v/>
      </c>
      <c r="S118">
        <f>IF([@Aanvullingsrechtig]="Ja",[@Beginsaldo]*[@Aanvulling_pu],0)</f>
        <v/>
      </c>
      <c r="T118">
        <f>IF(AND([@Opbouwjaar]&lt;&gt;"",[@Beginsaldo]&lt;&gt;0,OR([@Aanvullingsrechtig]="Ja",[@Aanvullingsrechtig]="Nee")),1,0)</f>
        <v/>
      </c>
    </row>
    <row r="119">
      <c r="O119">
        <f>LET(t,[@[Type verlof]],s,SEQUENCE(MAX(1,LEN(t)-3)),k,IFERROR(--MID(t,s,4),0),g,FILTER(k,(k&gt;=2000)*(k&lt;=2100),""),IFERROR(INDEX(g,1),""))</f>
        <v/>
      </c>
      <c r="P119">
        <f>LET(t,[@[Type verlof]],jj,[@Opbouwjaar],s,IF(jj="",t,SUBSTITUTE(t," "&amp;jj,"")),TRIM(s))</f>
        <v/>
      </c>
      <c r="Q119">
        <f>IF([@[Type verlof]]="","",IFERROR(XLOOKUP([@Basis_type],tblInstellingen[Basis verloftype],tblInstellingen[Aanvullingsrechtig]),"ONBEKEND"))</f>
        <v/>
      </c>
      <c r="R119">
        <f>IF(OR([@Opbouwjaar]="",[@[Type verlof]]=""),0,IFERROR(INDEX(FILTER(tblAanvulling[Totaalbedrag],(tblAanvulling[Mdw.]=[@[Mdw.]])*(tblAanvulling[Bkjr.]=[@Opbouwjaar]),0),1),0))</f>
        <v/>
      </c>
      <c r="S119">
        <f>IF([@Aanvullingsrechtig]="Ja",[@Beginsaldo]*[@Aanvulling_pu],0)</f>
        <v/>
      </c>
      <c r="T119">
        <f>IF(AND([@Opbouwjaar]&lt;&gt;"",[@Beginsaldo]&lt;&gt;0,OR([@Aanvullingsrechtig]="Ja",[@Aanvullingsrechtig]="Nee")),1,0)</f>
        <v/>
      </c>
    </row>
    <row r="120">
      <c r="O120">
        <f>LET(t,[@[Type verlof]],s,SEQUENCE(MAX(1,LEN(t)-3)),k,IFERROR(--MID(t,s,4),0),g,FILTER(k,(k&gt;=2000)*(k&lt;=2100),""),IFERROR(INDEX(g,1),""))</f>
        <v/>
      </c>
      <c r="P120">
        <f>LET(t,[@[Type verlof]],jj,[@Opbouwjaar],s,IF(jj="",t,SUBSTITUTE(t," "&amp;jj,"")),TRIM(s))</f>
        <v/>
      </c>
      <c r="Q120">
        <f>IF([@[Type verlof]]="","",IFERROR(XLOOKUP([@Basis_type],tblInstellingen[Basis verloftype],tblInstellingen[Aanvullingsrechtig]),"ONBEKEND"))</f>
        <v/>
      </c>
      <c r="R120">
        <f>IF(OR([@Opbouwjaar]="",[@[Type verlof]]=""),0,IFERROR(INDEX(FILTER(tblAanvulling[Totaalbedrag],(tblAanvulling[Mdw.]=[@[Mdw.]])*(tblAanvulling[Bkjr.]=[@Opbouwjaar]),0),1),0))</f>
        <v/>
      </c>
      <c r="S120">
        <f>IF([@Aanvullingsrechtig]="Ja",[@Beginsaldo]*[@Aanvulling_pu],0)</f>
        <v/>
      </c>
      <c r="T120">
        <f>IF(AND([@Opbouwjaar]&lt;&gt;"",[@Beginsaldo]&lt;&gt;0,OR([@Aanvullingsrechtig]="Ja",[@Aanvullingsrechtig]="Nee")),1,0)</f>
        <v/>
      </c>
    </row>
    <row r="121">
      <c r="O121">
        <f>LET(t,[@[Type verlof]],s,SEQUENCE(MAX(1,LEN(t)-3)),k,IFERROR(--MID(t,s,4),0),g,FILTER(k,(k&gt;=2000)*(k&lt;=2100),""),IFERROR(INDEX(g,1),""))</f>
        <v/>
      </c>
      <c r="P121">
        <f>LET(t,[@[Type verlof]],jj,[@Opbouwjaar],s,IF(jj="",t,SUBSTITUTE(t," "&amp;jj,"")),TRIM(s))</f>
        <v/>
      </c>
      <c r="Q121">
        <f>IF([@[Type verlof]]="","",IFERROR(XLOOKUP([@Basis_type],tblInstellingen[Basis verloftype],tblInstellingen[Aanvullingsrechtig]),"ONBEKEND"))</f>
        <v/>
      </c>
      <c r="R121">
        <f>IF(OR([@Opbouwjaar]="",[@[Type verlof]]=""),0,IFERROR(INDEX(FILTER(tblAanvulling[Totaalbedrag],(tblAanvulling[Mdw.]=[@[Mdw.]])*(tblAanvulling[Bkjr.]=[@Opbouwjaar]),0),1),0))</f>
        <v/>
      </c>
      <c r="S121">
        <f>IF([@Aanvullingsrechtig]="Ja",[@Beginsaldo]*[@Aanvulling_pu],0)</f>
        <v/>
      </c>
      <c r="T121">
        <f>IF(AND([@Opbouwjaar]&lt;&gt;"",[@Beginsaldo]&lt;&gt;0,OR([@Aanvullingsrechtig]="Ja",[@Aanvullingsrechtig]="Nee")),1,0)</f>
        <v/>
      </c>
    </row>
    <row r="122">
      <c r="O122">
        <f>LET(t,[@[Type verlof]],s,SEQUENCE(MAX(1,LEN(t)-3)),k,IFERROR(--MID(t,s,4),0),g,FILTER(k,(k&gt;=2000)*(k&lt;=2100),""),IFERROR(INDEX(g,1),""))</f>
        <v/>
      </c>
      <c r="P122">
        <f>LET(t,[@[Type verlof]],jj,[@Opbouwjaar],s,IF(jj="",t,SUBSTITUTE(t," "&amp;jj,"")),TRIM(s))</f>
        <v/>
      </c>
      <c r="Q122">
        <f>IF([@[Type verlof]]="","",IFERROR(XLOOKUP([@Basis_type],tblInstellingen[Basis verloftype],tblInstellingen[Aanvullingsrechtig]),"ONBEKEND"))</f>
        <v/>
      </c>
      <c r="R122">
        <f>IF(OR([@Opbouwjaar]="",[@[Type verlof]]=""),0,IFERROR(INDEX(FILTER(tblAanvulling[Totaalbedrag],(tblAanvulling[Mdw.]=[@[Mdw.]])*(tblAanvulling[Bkjr.]=[@Opbouwjaar]),0),1),0))</f>
        <v/>
      </c>
      <c r="S122">
        <f>IF([@Aanvullingsrechtig]="Ja",[@Beginsaldo]*[@Aanvulling_pu],0)</f>
        <v/>
      </c>
      <c r="T122">
        <f>IF(AND([@Opbouwjaar]&lt;&gt;"",[@Beginsaldo]&lt;&gt;0,OR([@Aanvullingsrechtig]="Ja",[@Aanvullingsrechtig]="Nee")),1,0)</f>
        <v/>
      </c>
    </row>
    <row r="123">
      <c r="O123">
        <f>LET(t,[@[Type verlof]],s,SEQUENCE(MAX(1,LEN(t)-3)),k,IFERROR(--MID(t,s,4),0),g,FILTER(k,(k&gt;=2000)*(k&lt;=2100),""),IFERROR(INDEX(g,1),""))</f>
        <v/>
      </c>
      <c r="P123">
        <f>LET(t,[@[Type verlof]],jj,[@Opbouwjaar],s,IF(jj="",t,SUBSTITUTE(t," "&amp;jj,"")),TRIM(s))</f>
        <v/>
      </c>
      <c r="Q123">
        <f>IF([@[Type verlof]]="","",IFERROR(XLOOKUP([@Basis_type],tblInstellingen[Basis verloftype],tblInstellingen[Aanvullingsrechtig]),"ONBEKEND"))</f>
        <v/>
      </c>
      <c r="R123">
        <f>IF(OR([@Opbouwjaar]="",[@[Type verlof]]=""),0,IFERROR(INDEX(FILTER(tblAanvulling[Totaalbedrag],(tblAanvulling[Mdw.]=[@[Mdw.]])*(tblAanvulling[Bkjr.]=[@Opbouwjaar]),0),1),0))</f>
        <v/>
      </c>
      <c r="S123">
        <f>IF([@Aanvullingsrechtig]="Ja",[@Beginsaldo]*[@Aanvulling_pu],0)</f>
        <v/>
      </c>
      <c r="T123">
        <f>IF(AND([@Opbouwjaar]&lt;&gt;"",[@Beginsaldo]&lt;&gt;0,OR([@Aanvullingsrechtig]="Ja",[@Aanvullingsrechtig]="Nee")),1,0)</f>
        <v/>
      </c>
    </row>
    <row r="124">
      <c r="O124">
        <f>LET(t,[@[Type verlof]],s,SEQUENCE(MAX(1,LEN(t)-3)),k,IFERROR(--MID(t,s,4),0),g,FILTER(k,(k&gt;=2000)*(k&lt;=2100),""),IFERROR(INDEX(g,1),""))</f>
        <v/>
      </c>
      <c r="P124">
        <f>LET(t,[@[Type verlof]],jj,[@Opbouwjaar],s,IF(jj="",t,SUBSTITUTE(t," "&amp;jj,"")),TRIM(s))</f>
        <v/>
      </c>
      <c r="Q124">
        <f>IF([@[Type verlof]]="","",IFERROR(XLOOKUP([@Basis_type],tblInstellingen[Basis verloftype],tblInstellingen[Aanvullingsrechtig]),"ONBEKEND"))</f>
        <v/>
      </c>
      <c r="R124">
        <f>IF(OR([@Opbouwjaar]="",[@[Type verlof]]=""),0,IFERROR(INDEX(FILTER(tblAanvulling[Totaalbedrag],(tblAanvulling[Mdw.]=[@[Mdw.]])*(tblAanvulling[Bkjr.]=[@Opbouwjaar]),0),1),0))</f>
        <v/>
      </c>
      <c r="S124">
        <f>IF([@Aanvullingsrechtig]="Ja",[@Beginsaldo]*[@Aanvulling_pu],0)</f>
        <v/>
      </c>
      <c r="T124">
        <f>IF(AND([@Opbouwjaar]&lt;&gt;"",[@Beginsaldo]&lt;&gt;0,OR([@Aanvullingsrechtig]="Ja",[@Aanvullingsrechtig]="Nee")),1,0)</f>
        <v/>
      </c>
    </row>
    <row r="125">
      <c r="O125">
        <f>LET(t,[@[Type verlof]],s,SEQUENCE(MAX(1,LEN(t)-3)),k,IFERROR(--MID(t,s,4),0),g,FILTER(k,(k&gt;=2000)*(k&lt;=2100),""),IFERROR(INDEX(g,1),""))</f>
        <v/>
      </c>
      <c r="P125">
        <f>LET(t,[@[Type verlof]],jj,[@Opbouwjaar],s,IF(jj="",t,SUBSTITUTE(t," "&amp;jj,"")),TRIM(s))</f>
        <v/>
      </c>
      <c r="Q125">
        <f>IF([@[Type verlof]]="","",IFERROR(XLOOKUP([@Basis_type],tblInstellingen[Basis verloftype],tblInstellingen[Aanvullingsrechtig]),"ONBEKEND"))</f>
        <v/>
      </c>
      <c r="R125">
        <f>IF(OR([@Opbouwjaar]="",[@[Type verlof]]=""),0,IFERROR(INDEX(FILTER(tblAanvulling[Totaalbedrag],(tblAanvulling[Mdw.]=[@[Mdw.]])*(tblAanvulling[Bkjr.]=[@Opbouwjaar]),0),1),0))</f>
        <v/>
      </c>
      <c r="S125">
        <f>IF([@Aanvullingsrechtig]="Ja",[@Beginsaldo]*[@Aanvulling_pu],0)</f>
        <v/>
      </c>
      <c r="T125">
        <f>IF(AND([@Opbouwjaar]&lt;&gt;"",[@Beginsaldo]&lt;&gt;0,OR([@Aanvullingsrechtig]="Ja",[@Aanvullingsrechtig]="Nee")),1,0)</f>
        <v/>
      </c>
    </row>
    <row r="126">
      <c r="O126">
        <f>LET(t,[@[Type verlof]],s,SEQUENCE(MAX(1,LEN(t)-3)),k,IFERROR(--MID(t,s,4),0),g,FILTER(k,(k&gt;=2000)*(k&lt;=2100),""),IFERROR(INDEX(g,1),""))</f>
        <v/>
      </c>
      <c r="P126">
        <f>LET(t,[@[Type verlof]],jj,[@Opbouwjaar],s,IF(jj="",t,SUBSTITUTE(t," "&amp;jj,"")),TRIM(s))</f>
        <v/>
      </c>
      <c r="Q126">
        <f>IF([@[Type verlof]]="","",IFERROR(XLOOKUP([@Basis_type],tblInstellingen[Basis verloftype],tblInstellingen[Aanvullingsrechtig]),"ONBEKEND"))</f>
        <v/>
      </c>
      <c r="R126">
        <f>IF(OR([@Opbouwjaar]="",[@[Type verlof]]=""),0,IFERROR(INDEX(FILTER(tblAanvulling[Totaalbedrag],(tblAanvulling[Mdw.]=[@[Mdw.]])*(tblAanvulling[Bkjr.]=[@Opbouwjaar]),0),1),0))</f>
        <v/>
      </c>
      <c r="S126">
        <f>IF([@Aanvullingsrechtig]="Ja",[@Beginsaldo]*[@Aanvulling_pu],0)</f>
        <v/>
      </c>
      <c r="T126">
        <f>IF(AND([@Opbouwjaar]&lt;&gt;"",[@Beginsaldo]&lt;&gt;0,OR([@Aanvullingsrechtig]="Ja",[@Aanvullingsrechtig]="Nee")),1,0)</f>
        <v/>
      </c>
    </row>
    <row r="127">
      <c r="O127">
        <f>LET(t,[@[Type verlof]],s,SEQUENCE(MAX(1,LEN(t)-3)),k,IFERROR(--MID(t,s,4),0),g,FILTER(k,(k&gt;=2000)*(k&lt;=2100),""),IFERROR(INDEX(g,1),""))</f>
        <v/>
      </c>
      <c r="P127">
        <f>LET(t,[@[Type verlof]],jj,[@Opbouwjaar],s,IF(jj="",t,SUBSTITUTE(t," "&amp;jj,"")),TRIM(s))</f>
        <v/>
      </c>
      <c r="Q127">
        <f>IF([@[Type verlof]]="","",IFERROR(XLOOKUP([@Basis_type],tblInstellingen[Basis verloftype],tblInstellingen[Aanvullingsrechtig]),"ONBEKEND"))</f>
        <v/>
      </c>
      <c r="R127">
        <f>IF(OR([@Opbouwjaar]="",[@[Type verlof]]=""),0,IFERROR(INDEX(FILTER(tblAanvulling[Totaalbedrag],(tblAanvulling[Mdw.]=[@[Mdw.]])*(tblAanvulling[Bkjr.]=[@Opbouwjaar]),0),1),0))</f>
        <v/>
      </c>
      <c r="S127">
        <f>IF([@Aanvullingsrechtig]="Ja",[@Beginsaldo]*[@Aanvulling_pu],0)</f>
        <v/>
      </c>
      <c r="T127">
        <f>IF(AND([@Opbouwjaar]&lt;&gt;"",[@Beginsaldo]&lt;&gt;0,OR([@Aanvullingsrechtig]="Ja",[@Aanvullingsrechtig]="Nee")),1,0)</f>
        <v/>
      </c>
    </row>
    <row r="128">
      <c r="O128">
        <f>LET(t,[@[Type verlof]],s,SEQUENCE(MAX(1,LEN(t)-3)),k,IFERROR(--MID(t,s,4),0),g,FILTER(k,(k&gt;=2000)*(k&lt;=2100),""),IFERROR(INDEX(g,1),""))</f>
        <v/>
      </c>
      <c r="P128">
        <f>LET(t,[@[Type verlof]],jj,[@Opbouwjaar],s,IF(jj="",t,SUBSTITUTE(t," "&amp;jj,"")),TRIM(s))</f>
        <v/>
      </c>
      <c r="Q128">
        <f>IF([@[Type verlof]]="","",IFERROR(XLOOKUP([@Basis_type],tblInstellingen[Basis verloftype],tblInstellingen[Aanvullingsrechtig]),"ONBEKEND"))</f>
        <v/>
      </c>
      <c r="R128">
        <f>IF(OR([@Opbouwjaar]="",[@[Type verlof]]=""),0,IFERROR(INDEX(FILTER(tblAanvulling[Totaalbedrag],(tblAanvulling[Mdw.]=[@[Mdw.]])*(tblAanvulling[Bkjr.]=[@Opbouwjaar]),0),1),0))</f>
        <v/>
      </c>
      <c r="S128">
        <f>IF([@Aanvullingsrechtig]="Ja",[@Beginsaldo]*[@Aanvulling_pu],0)</f>
        <v/>
      </c>
      <c r="T128">
        <f>IF(AND([@Opbouwjaar]&lt;&gt;"",[@Beginsaldo]&lt;&gt;0,OR([@Aanvullingsrechtig]="Ja",[@Aanvullingsrechtig]="Nee")),1,0)</f>
        <v/>
      </c>
    </row>
    <row r="129">
      <c r="O129">
        <f>LET(t,[@[Type verlof]],s,SEQUENCE(MAX(1,LEN(t)-3)),k,IFERROR(--MID(t,s,4),0),g,FILTER(k,(k&gt;=2000)*(k&lt;=2100),""),IFERROR(INDEX(g,1),""))</f>
        <v/>
      </c>
      <c r="P129">
        <f>LET(t,[@[Type verlof]],jj,[@Opbouwjaar],s,IF(jj="",t,SUBSTITUTE(t," "&amp;jj,"")),TRIM(s))</f>
        <v/>
      </c>
      <c r="Q129">
        <f>IF([@[Type verlof]]="","",IFERROR(XLOOKUP([@Basis_type],tblInstellingen[Basis verloftype],tblInstellingen[Aanvullingsrechtig]),"ONBEKEND"))</f>
        <v/>
      </c>
      <c r="R129">
        <f>IF(OR([@Opbouwjaar]="",[@[Type verlof]]=""),0,IFERROR(INDEX(FILTER(tblAanvulling[Totaalbedrag],(tblAanvulling[Mdw.]=[@[Mdw.]])*(tblAanvulling[Bkjr.]=[@Opbouwjaar]),0),1),0))</f>
        <v/>
      </c>
      <c r="S129">
        <f>IF([@Aanvullingsrechtig]="Ja",[@Beginsaldo]*[@Aanvulling_pu],0)</f>
        <v/>
      </c>
      <c r="T129">
        <f>IF(AND([@Opbouwjaar]&lt;&gt;"",[@Beginsaldo]&lt;&gt;0,OR([@Aanvullingsrechtig]="Ja",[@Aanvullingsrechtig]="Nee")),1,0)</f>
        <v/>
      </c>
    </row>
    <row r="130">
      <c r="O130">
        <f>LET(t,[@[Type verlof]],s,SEQUENCE(MAX(1,LEN(t)-3)),k,IFERROR(--MID(t,s,4),0),g,FILTER(k,(k&gt;=2000)*(k&lt;=2100),""),IFERROR(INDEX(g,1),""))</f>
        <v/>
      </c>
      <c r="P130">
        <f>LET(t,[@[Type verlof]],jj,[@Opbouwjaar],s,IF(jj="",t,SUBSTITUTE(t," "&amp;jj,"")),TRIM(s))</f>
        <v/>
      </c>
      <c r="Q130">
        <f>IF([@[Type verlof]]="","",IFERROR(XLOOKUP([@Basis_type],tblInstellingen[Basis verloftype],tblInstellingen[Aanvullingsrechtig]),"ONBEKEND"))</f>
        <v/>
      </c>
      <c r="R130">
        <f>IF(OR([@Opbouwjaar]="",[@[Type verlof]]=""),0,IFERROR(INDEX(FILTER(tblAanvulling[Totaalbedrag],(tblAanvulling[Mdw.]=[@[Mdw.]])*(tblAanvulling[Bkjr.]=[@Opbouwjaar]),0),1),0))</f>
        <v/>
      </c>
      <c r="S130">
        <f>IF([@Aanvullingsrechtig]="Ja",[@Beginsaldo]*[@Aanvulling_pu],0)</f>
        <v/>
      </c>
      <c r="T130">
        <f>IF(AND([@Opbouwjaar]&lt;&gt;"",[@Beginsaldo]&lt;&gt;0,OR([@Aanvullingsrechtig]="Ja",[@Aanvullingsrechtig]="Nee")),1,0)</f>
        <v/>
      </c>
    </row>
    <row r="131">
      <c r="O131">
        <f>LET(t,[@[Type verlof]],s,SEQUENCE(MAX(1,LEN(t)-3)),k,IFERROR(--MID(t,s,4),0),g,FILTER(k,(k&gt;=2000)*(k&lt;=2100),""),IFERROR(INDEX(g,1),""))</f>
        <v/>
      </c>
      <c r="P131">
        <f>LET(t,[@[Type verlof]],jj,[@Opbouwjaar],s,IF(jj="",t,SUBSTITUTE(t," "&amp;jj,"")),TRIM(s))</f>
        <v/>
      </c>
      <c r="Q131">
        <f>IF([@[Type verlof]]="","",IFERROR(XLOOKUP([@Basis_type],tblInstellingen[Basis verloftype],tblInstellingen[Aanvullingsrechtig]),"ONBEKEND"))</f>
        <v/>
      </c>
      <c r="R131">
        <f>IF(OR([@Opbouwjaar]="",[@[Type verlof]]=""),0,IFERROR(INDEX(FILTER(tblAanvulling[Totaalbedrag],(tblAanvulling[Mdw.]=[@[Mdw.]])*(tblAanvulling[Bkjr.]=[@Opbouwjaar]),0),1),0))</f>
        <v/>
      </c>
      <c r="S131">
        <f>IF([@Aanvullingsrechtig]="Ja",[@Beginsaldo]*[@Aanvulling_pu],0)</f>
        <v/>
      </c>
      <c r="T131">
        <f>IF(AND([@Opbouwjaar]&lt;&gt;"",[@Beginsaldo]&lt;&gt;0,OR([@Aanvullingsrechtig]="Ja",[@Aanvullingsrechtig]="Nee")),1,0)</f>
        <v/>
      </c>
    </row>
    <row r="132">
      <c r="O132">
        <f>LET(t,[@[Type verlof]],s,SEQUENCE(MAX(1,LEN(t)-3)),k,IFERROR(--MID(t,s,4),0),g,FILTER(k,(k&gt;=2000)*(k&lt;=2100),""),IFERROR(INDEX(g,1),""))</f>
        <v/>
      </c>
      <c r="P132">
        <f>LET(t,[@[Type verlof]],jj,[@Opbouwjaar],s,IF(jj="",t,SUBSTITUTE(t," "&amp;jj,"")),TRIM(s))</f>
        <v/>
      </c>
      <c r="Q132">
        <f>IF([@[Type verlof]]="","",IFERROR(XLOOKUP([@Basis_type],tblInstellingen[Basis verloftype],tblInstellingen[Aanvullingsrechtig]),"ONBEKEND"))</f>
        <v/>
      </c>
      <c r="R132">
        <f>IF(OR([@Opbouwjaar]="",[@[Type verlof]]=""),0,IFERROR(INDEX(FILTER(tblAanvulling[Totaalbedrag],(tblAanvulling[Mdw.]=[@[Mdw.]])*(tblAanvulling[Bkjr.]=[@Opbouwjaar]),0),1),0))</f>
        <v/>
      </c>
      <c r="S132">
        <f>IF([@Aanvullingsrechtig]="Ja",[@Beginsaldo]*[@Aanvulling_pu],0)</f>
        <v/>
      </c>
      <c r="T132">
        <f>IF(AND([@Opbouwjaar]&lt;&gt;"",[@Beginsaldo]&lt;&gt;0,OR([@Aanvullingsrechtig]="Ja",[@Aanvullingsrechtig]="Nee")),1,0)</f>
        <v/>
      </c>
    </row>
    <row r="133">
      <c r="O133">
        <f>LET(t,[@[Type verlof]],s,SEQUENCE(MAX(1,LEN(t)-3)),k,IFERROR(--MID(t,s,4),0),g,FILTER(k,(k&gt;=2000)*(k&lt;=2100),""),IFERROR(INDEX(g,1),""))</f>
        <v/>
      </c>
      <c r="P133">
        <f>LET(t,[@[Type verlof]],jj,[@Opbouwjaar],s,IF(jj="",t,SUBSTITUTE(t," "&amp;jj,"")),TRIM(s))</f>
        <v/>
      </c>
      <c r="Q133">
        <f>IF([@[Type verlof]]="","",IFERROR(XLOOKUP([@Basis_type],tblInstellingen[Basis verloftype],tblInstellingen[Aanvullingsrechtig]),"ONBEKEND"))</f>
        <v/>
      </c>
      <c r="R133">
        <f>IF(OR([@Opbouwjaar]="",[@[Type verlof]]=""),0,IFERROR(INDEX(FILTER(tblAanvulling[Totaalbedrag],(tblAanvulling[Mdw.]=[@[Mdw.]])*(tblAanvulling[Bkjr.]=[@Opbouwjaar]),0),1),0))</f>
        <v/>
      </c>
      <c r="S133">
        <f>IF([@Aanvullingsrechtig]="Ja",[@Beginsaldo]*[@Aanvulling_pu],0)</f>
        <v/>
      </c>
      <c r="T133">
        <f>IF(AND([@Opbouwjaar]&lt;&gt;"",[@Beginsaldo]&lt;&gt;0,OR([@Aanvullingsrechtig]="Ja",[@Aanvullingsrechtig]="Nee")),1,0)</f>
        <v/>
      </c>
    </row>
    <row r="134">
      <c r="O134">
        <f>LET(t,[@[Type verlof]],s,SEQUENCE(MAX(1,LEN(t)-3)),k,IFERROR(--MID(t,s,4),0),g,FILTER(k,(k&gt;=2000)*(k&lt;=2100),""),IFERROR(INDEX(g,1),""))</f>
        <v/>
      </c>
      <c r="P134">
        <f>LET(t,[@[Type verlof]],jj,[@Opbouwjaar],s,IF(jj="",t,SUBSTITUTE(t," "&amp;jj,"")),TRIM(s))</f>
        <v/>
      </c>
      <c r="Q134">
        <f>IF([@[Type verlof]]="","",IFERROR(XLOOKUP([@Basis_type],tblInstellingen[Basis verloftype],tblInstellingen[Aanvullingsrechtig]),"ONBEKEND"))</f>
        <v/>
      </c>
      <c r="R134">
        <f>IF(OR([@Opbouwjaar]="",[@[Type verlof]]=""),0,IFERROR(INDEX(FILTER(tblAanvulling[Totaalbedrag],(tblAanvulling[Mdw.]=[@[Mdw.]])*(tblAanvulling[Bkjr.]=[@Opbouwjaar]),0),1),0))</f>
        <v/>
      </c>
      <c r="S134">
        <f>IF([@Aanvullingsrechtig]="Ja",[@Beginsaldo]*[@Aanvulling_pu],0)</f>
        <v/>
      </c>
      <c r="T134">
        <f>IF(AND([@Opbouwjaar]&lt;&gt;"",[@Beginsaldo]&lt;&gt;0,OR([@Aanvullingsrechtig]="Ja",[@Aanvullingsrechtig]="Nee")),1,0)</f>
        <v/>
      </c>
    </row>
    <row r="135">
      <c r="O135">
        <f>LET(t,[@[Type verlof]],s,SEQUENCE(MAX(1,LEN(t)-3)),k,IFERROR(--MID(t,s,4),0),g,FILTER(k,(k&gt;=2000)*(k&lt;=2100),""),IFERROR(INDEX(g,1),""))</f>
        <v/>
      </c>
      <c r="P135">
        <f>LET(t,[@[Type verlof]],jj,[@Opbouwjaar],s,IF(jj="",t,SUBSTITUTE(t," "&amp;jj,"")),TRIM(s))</f>
        <v/>
      </c>
      <c r="Q135">
        <f>IF([@[Type verlof]]="","",IFERROR(XLOOKUP([@Basis_type],tblInstellingen[Basis verloftype],tblInstellingen[Aanvullingsrechtig]),"ONBEKEND"))</f>
        <v/>
      </c>
      <c r="R135">
        <f>IF(OR([@Opbouwjaar]="",[@[Type verlof]]=""),0,IFERROR(INDEX(FILTER(tblAanvulling[Totaalbedrag],(tblAanvulling[Mdw.]=[@[Mdw.]])*(tblAanvulling[Bkjr.]=[@Opbouwjaar]),0),1),0))</f>
        <v/>
      </c>
      <c r="S135">
        <f>IF([@Aanvullingsrechtig]="Ja",[@Beginsaldo]*[@Aanvulling_pu],0)</f>
        <v/>
      </c>
      <c r="T135">
        <f>IF(AND([@Opbouwjaar]&lt;&gt;"",[@Beginsaldo]&lt;&gt;0,OR([@Aanvullingsrechtig]="Ja",[@Aanvullingsrechtig]="Nee")),1,0)</f>
        <v/>
      </c>
    </row>
    <row r="136">
      <c r="O136">
        <f>LET(t,[@[Type verlof]],s,SEQUENCE(MAX(1,LEN(t)-3)),k,IFERROR(--MID(t,s,4),0),g,FILTER(k,(k&gt;=2000)*(k&lt;=2100),""),IFERROR(INDEX(g,1),""))</f>
        <v/>
      </c>
      <c r="P136">
        <f>LET(t,[@[Type verlof]],jj,[@Opbouwjaar],s,IF(jj="",t,SUBSTITUTE(t," "&amp;jj,"")),TRIM(s))</f>
        <v/>
      </c>
      <c r="Q136">
        <f>IF([@[Type verlof]]="","",IFERROR(XLOOKUP([@Basis_type],tblInstellingen[Basis verloftype],tblInstellingen[Aanvullingsrechtig]),"ONBEKEND"))</f>
        <v/>
      </c>
      <c r="R136">
        <f>IF(OR([@Opbouwjaar]="",[@[Type verlof]]=""),0,IFERROR(INDEX(FILTER(tblAanvulling[Totaalbedrag],(tblAanvulling[Mdw.]=[@[Mdw.]])*(tblAanvulling[Bkjr.]=[@Opbouwjaar]),0),1),0))</f>
        <v/>
      </c>
      <c r="S136">
        <f>IF([@Aanvullingsrechtig]="Ja",[@Beginsaldo]*[@Aanvulling_pu],0)</f>
        <v/>
      </c>
      <c r="T136">
        <f>IF(AND([@Opbouwjaar]&lt;&gt;"",[@Beginsaldo]&lt;&gt;0,OR([@Aanvullingsrechtig]="Ja",[@Aanvullingsrechtig]="Nee")),1,0)</f>
        <v/>
      </c>
    </row>
    <row r="137">
      <c r="O137">
        <f>LET(t,[@[Type verlof]],s,SEQUENCE(MAX(1,LEN(t)-3)),k,IFERROR(--MID(t,s,4),0),g,FILTER(k,(k&gt;=2000)*(k&lt;=2100),""),IFERROR(INDEX(g,1),""))</f>
        <v/>
      </c>
      <c r="P137">
        <f>LET(t,[@[Type verlof]],jj,[@Opbouwjaar],s,IF(jj="",t,SUBSTITUTE(t," "&amp;jj,"")),TRIM(s))</f>
        <v/>
      </c>
      <c r="Q137">
        <f>IF([@[Type verlof]]="","",IFERROR(XLOOKUP([@Basis_type],tblInstellingen[Basis verloftype],tblInstellingen[Aanvullingsrechtig]),"ONBEKEND"))</f>
        <v/>
      </c>
      <c r="R137">
        <f>IF(OR([@Opbouwjaar]="",[@[Type verlof]]=""),0,IFERROR(INDEX(FILTER(tblAanvulling[Totaalbedrag],(tblAanvulling[Mdw.]=[@[Mdw.]])*(tblAanvulling[Bkjr.]=[@Opbouwjaar]),0),1),0))</f>
        <v/>
      </c>
      <c r="S137">
        <f>IF([@Aanvullingsrechtig]="Ja",[@Beginsaldo]*[@Aanvulling_pu],0)</f>
        <v/>
      </c>
      <c r="T137">
        <f>IF(AND([@Opbouwjaar]&lt;&gt;"",[@Beginsaldo]&lt;&gt;0,OR([@Aanvullingsrechtig]="Ja",[@Aanvullingsrechtig]="Nee")),1,0)</f>
        <v/>
      </c>
    </row>
    <row r="138">
      <c r="O138">
        <f>LET(t,[@[Type verlof]],s,SEQUENCE(MAX(1,LEN(t)-3)),k,IFERROR(--MID(t,s,4),0),g,FILTER(k,(k&gt;=2000)*(k&lt;=2100),""),IFERROR(INDEX(g,1),""))</f>
        <v/>
      </c>
      <c r="P138">
        <f>LET(t,[@[Type verlof]],jj,[@Opbouwjaar],s,IF(jj="",t,SUBSTITUTE(t," "&amp;jj,"")),TRIM(s))</f>
        <v/>
      </c>
      <c r="Q138">
        <f>IF([@[Type verlof]]="","",IFERROR(XLOOKUP([@Basis_type],tblInstellingen[Basis verloftype],tblInstellingen[Aanvullingsrechtig]),"ONBEKEND"))</f>
        <v/>
      </c>
      <c r="R138">
        <f>IF(OR([@Opbouwjaar]="",[@[Type verlof]]=""),0,IFERROR(INDEX(FILTER(tblAanvulling[Totaalbedrag],(tblAanvulling[Mdw.]=[@[Mdw.]])*(tblAanvulling[Bkjr.]=[@Opbouwjaar]),0),1),0))</f>
        <v/>
      </c>
      <c r="S138">
        <f>IF([@Aanvullingsrechtig]="Ja",[@Beginsaldo]*[@Aanvulling_pu],0)</f>
        <v/>
      </c>
      <c r="T138">
        <f>IF(AND([@Opbouwjaar]&lt;&gt;"",[@Beginsaldo]&lt;&gt;0,OR([@Aanvullingsrechtig]="Ja",[@Aanvullingsrechtig]="Nee")),1,0)</f>
        <v/>
      </c>
    </row>
    <row r="139">
      <c r="O139">
        <f>LET(t,[@[Type verlof]],s,SEQUENCE(MAX(1,LEN(t)-3)),k,IFERROR(--MID(t,s,4),0),g,FILTER(k,(k&gt;=2000)*(k&lt;=2100),""),IFERROR(INDEX(g,1),""))</f>
        <v/>
      </c>
      <c r="P139">
        <f>LET(t,[@[Type verlof]],jj,[@Opbouwjaar],s,IF(jj="",t,SUBSTITUTE(t," "&amp;jj,"")),TRIM(s))</f>
        <v/>
      </c>
      <c r="Q139">
        <f>IF([@[Type verlof]]="","",IFERROR(XLOOKUP([@Basis_type],tblInstellingen[Basis verloftype],tblInstellingen[Aanvullingsrechtig]),"ONBEKEND"))</f>
        <v/>
      </c>
      <c r="R139">
        <f>IF(OR([@Opbouwjaar]="",[@[Type verlof]]=""),0,IFERROR(INDEX(FILTER(tblAanvulling[Totaalbedrag],(tblAanvulling[Mdw.]=[@[Mdw.]])*(tblAanvulling[Bkjr.]=[@Opbouwjaar]),0),1),0))</f>
        <v/>
      </c>
      <c r="S139">
        <f>IF([@Aanvullingsrechtig]="Ja",[@Beginsaldo]*[@Aanvulling_pu],0)</f>
        <v/>
      </c>
      <c r="T139">
        <f>IF(AND([@Opbouwjaar]&lt;&gt;"",[@Beginsaldo]&lt;&gt;0,OR([@Aanvullingsrechtig]="Ja",[@Aanvullingsrechtig]="Nee")),1,0)</f>
        <v/>
      </c>
    </row>
    <row r="140">
      <c r="O140">
        <f>LET(t,[@[Type verlof]],s,SEQUENCE(MAX(1,LEN(t)-3)),k,IFERROR(--MID(t,s,4),0),g,FILTER(k,(k&gt;=2000)*(k&lt;=2100),""),IFERROR(INDEX(g,1),""))</f>
        <v/>
      </c>
      <c r="P140">
        <f>LET(t,[@[Type verlof]],jj,[@Opbouwjaar],s,IF(jj="",t,SUBSTITUTE(t," "&amp;jj,"")),TRIM(s))</f>
        <v/>
      </c>
      <c r="Q140">
        <f>IF([@[Type verlof]]="","",IFERROR(XLOOKUP([@Basis_type],tblInstellingen[Basis verloftype],tblInstellingen[Aanvullingsrechtig]),"ONBEKEND"))</f>
        <v/>
      </c>
      <c r="R140">
        <f>IF(OR([@Opbouwjaar]="",[@[Type verlof]]=""),0,IFERROR(INDEX(FILTER(tblAanvulling[Totaalbedrag],(tblAanvulling[Mdw.]=[@[Mdw.]])*(tblAanvulling[Bkjr.]=[@Opbouwjaar]),0),1),0))</f>
        <v/>
      </c>
      <c r="S140">
        <f>IF([@Aanvullingsrechtig]="Ja",[@Beginsaldo]*[@Aanvulling_pu],0)</f>
        <v/>
      </c>
      <c r="T140">
        <f>IF(AND([@Opbouwjaar]&lt;&gt;"",[@Beginsaldo]&lt;&gt;0,OR([@Aanvullingsrechtig]="Ja",[@Aanvullingsrechtig]="Nee")),1,0)</f>
        <v/>
      </c>
    </row>
    <row r="141">
      <c r="O141">
        <f>LET(t,[@[Type verlof]],s,SEQUENCE(MAX(1,LEN(t)-3)),k,IFERROR(--MID(t,s,4),0),g,FILTER(k,(k&gt;=2000)*(k&lt;=2100),""),IFERROR(INDEX(g,1),""))</f>
        <v/>
      </c>
      <c r="P141">
        <f>LET(t,[@[Type verlof]],jj,[@Opbouwjaar],s,IF(jj="",t,SUBSTITUTE(t," "&amp;jj,"")),TRIM(s))</f>
        <v/>
      </c>
      <c r="Q141">
        <f>IF([@[Type verlof]]="","",IFERROR(XLOOKUP([@Basis_type],tblInstellingen[Basis verloftype],tblInstellingen[Aanvullingsrechtig]),"ONBEKEND"))</f>
        <v/>
      </c>
      <c r="R141">
        <f>IF(OR([@Opbouwjaar]="",[@[Type verlof]]=""),0,IFERROR(INDEX(FILTER(tblAanvulling[Totaalbedrag],(tblAanvulling[Mdw.]=[@[Mdw.]])*(tblAanvulling[Bkjr.]=[@Opbouwjaar]),0),1),0))</f>
        <v/>
      </c>
      <c r="S141">
        <f>IF([@Aanvullingsrechtig]="Ja",[@Beginsaldo]*[@Aanvulling_pu],0)</f>
        <v/>
      </c>
      <c r="T141">
        <f>IF(AND([@Opbouwjaar]&lt;&gt;"",[@Beginsaldo]&lt;&gt;0,OR([@Aanvullingsrechtig]="Ja",[@Aanvullingsrechtig]="Nee")),1,0)</f>
        <v/>
      </c>
    </row>
    <row r="142">
      <c r="O142">
        <f>LET(t,[@[Type verlof]],s,SEQUENCE(MAX(1,LEN(t)-3)),k,IFERROR(--MID(t,s,4),0),g,FILTER(k,(k&gt;=2000)*(k&lt;=2100),""),IFERROR(INDEX(g,1),""))</f>
        <v/>
      </c>
      <c r="P142">
        <f>LET(t,[@[Type verlof]],jj,[@Opbouwjaar],s,IF(jj="",t,SUBSTITUTE(t," "&amp;jj,"")),TRIM(s))</f>
        <v/>
      </c>
      <c r="Q142">
        <f>IF([@[Type verlof]]="","",IFERROR(XLOOKUP([@Basis_type],tblInstellingen[Basis verloftype],tblInstellingen[Aanvullingsrechtig]),"ONBEKEND"))</f>
        <v/>
      </c>
      <c r="R142">
        <f>IF(OR([@Opbouwjaar]="",[@[Type verlof]]=""),0,IFERROR(INDEX(FILTER(tblAanvulling[Totaalbedrag],(tblAanvulling[Mdw.]=[@[Mdw.]])*(tblAanvulling[Bkjr.]=[@Opbouwjaar]),0),1),0))</f>
        <v/>
      </c>
      <c r="S142">
        <f>IF([@Aanvullingsrechtig]="Ja",[@Beginsaldo]*[@Aanvulling_pu],0)</f>
        <v/>
      </c>
      <c r="T142">
        <f>IF(AND([@Opbouwjaar]&lt;&gt;"",[@Beginsaldo]&lt;&gt;0,OR([@Aanvullingsrechtig]="Ja",[@Aanvullingsrechtig]="Nee")),1,0)</f>
        <v/>
      </c>
    </row>
    <row r="143">
      <c r="O143">
        <f>LET(t,[@[Type verlof]],s,SEQUENCE(MAX(1,LEN(t)-3)),k,IFERROR(--MID(t,s,4),0),g,FILTER(k,(k&gt;=2000)*(k&lt;=2100),""),IFERROR(INDEX(g,1),""))</f>
        <v/>
      </c>
      <c r="P143">
        <f>LET(t,[@[Type verlof]],jj,[@Opbouwjaar],s,IF(jj="",t,SUBSTITUTE(t," "&amp;jj,"")),TRIM(s))</f>
        <v/>
      </c>
      <c r="Q143">
        <f>IF([@[Type verlof]]="","",IFERROR(XLOOKUP([@Basis_type],tblInstellingen[Basis verloftype],tblInstellingen[Aanvullingsrechtig]),"ONBEKEND"))</f>
        <v/>
      </c>
      <c r="R143">
        <f>IF(OR([@Opbouwjaar]="",[@[Type verlof]]=""),0,IFERROR(INDEX(FILTER(tblAanvulling[Totaalbedrag],(tblAanvulling[Mdw.]=[@[Mdw.]])*(tblAanvulling[Bkjr.]=[@Opbouwjaar]),0),1),0))</f>
        <v/>
      </c>
      <c r="S143">
        <f>IF([@Aanvullingsrechtig]="Ja",[@Beginsaldo]*[@Aanvulling_pu],0)</f>
        <v/>
      </c>
      <c r="T143">
        <f>IF(AND([@Opbouwjaar]&lt;&gt;"",[@Beginsaldo]&lt;&gt;0,OR([@Aanvullingsrechtig]="Ja",[@Aanvullingsrechtig]="Nee")),1,0)</f>
        <v/>
      </c>
    </row>
    <row r="144">
      <c r="O144">
        <f>LET(t,[@[Type verlof]],s,SEQUENCE(MAX(1,LEN(t)-3)),k,IFERROR(--MID(t,s,4),0),g,FILTER(k,(k&gt;=2000)*(k&lt;=2100),""),IFERROR(INDEX(g,1),""))</f>
        <v/>
      </c>
      <c r="P144">
        <f>LET(t,[@[Type verlof]],jj,[@Opbouwjaar],s,IF(jj="",t,SUBSTITUTE(t," "&amp;jj,"")),TRIM(s))</f>
        <v/>
      </c>
      <c r="Q144">
        <f>IF([@[Type verlof]]="","",IFERROR(XLOOKUP([@Basis_type],tblInstellingen[Basis verloftype],tblInstellingen[Aanvullingsrechtig]),"ONBEKEND"))</f>
        <v/>
      </c>
      <c r="R144">
        <f>IF(OR([@Opbouwjaar]="",[@[Type verlof]]=""),0,IFERROR(INDEX(FILTER(tblAanvulling[Totaalbedrag],(tblAanvulling[Mdw.]=[@[Mdw.]])*(tblAanvulling[Bkjr.]=[@Opbouwjaar]),0),1),0))</f>
        <v/>
      </c>
      <c r="S144">
        <f>IF([@Aanvullingsrechtig]="Ja",[@Beginsaldo]*[@Aanvulling_pu],0)</f>
        <v/>
      </c>
      <c r="T144">
        <f>IF(AND([@Opbouwjaar]&lt;&gt;"",[@Beginsaldo]&lt;&gt;0,OR([@Aanvullingsrechtig]="Ja",[@Aanvullingsrechtig]="Nee")),1,0)</f>
        <v/>
      </c>
    </row>
    <row r="145">
      <c r="O145">
        <f>LET(t,[@[Type verlof]],s,SEQUENCE(MAX(1,LEN(t)-3)),k,IFERROR(--MID(t,s,4),0),g,FILTER(k,(k&gt;=2000)*(k&lt;=2100),""),IFERROR(INDEX(g,1),""))</f>
        <v/>
      </c>
      <c r="P145">
        <f>LET(t,[@[Type verlof]],jj,[@Opbouwjaar],s,IF(jj="",t,SUBSTITUTE(t," "&amp;jj,"")),TRIM(s))</f>
        <v/>
      </c>
      <c r="Q145">
        <f>IF([@[Type verlof]]="","",IFERROR(XLOOKUP([@Basis_type],tblInstellingen[Basis verloftype],tblInstellingen[Aanvullingsrechtig]),"ONBEKEND"))</f>
        <v/>
      </c>
      <c r="R145">
        <f>IF(OR([@Opbouwjaar]="",[@[Type verlof]]=""),0,IFERROR(INDEX(FILTER(tblAanvulling[Totaalbedrag],(tblAanvulling[Mdw.]=[@[Mdw.]])*(tblAanvulling[Bkjr.]=[@Opbouwjaar]),0),1),0))</f>
        <v/>
      </c>
      <c r="S145">
        <f>IF([@Aanvullingsrechtig]="Ja",[@Beginsaldo]*[@Aanvulling_pu],0)</f>
        <v/>
      </c>
      <c r="T145">
        <f>IF(AND([@Opbouwjaar]&lt;&gt;"",[@Beginsaldo]&lt;&gt;0,OR([@Aanvullingsrechtig]="Ja",[@Aanvullingsrechtig]="Nee")),1,0)</f>
        <v/>
      </c>
    </row>
    <row r="146">
      <c r="O146">
        <f>LET(t,[@[Type verlof]],s,SEQUENCE(MAX(1,LEN(t)-3)),k,IFERROR(--MID(t,s,4),0),g,FILTER(k,(k&gt;=2000)*(k&lt;=2100),""),IFERROR(INDEX(g,1),""))</f>
        <v/>
      </c>
      <c r="P146">
        <f>LET(t,[@[Type verlof]],jj,[@Opbouwjaar],s,IF(jj="",t,SUBSTITUTE(t," "&amp;jj,"")),TRIM(s))</f>
        <v/>
      </c>
      <c r="Q146">
        <f>IF([@[Type verlof]]="","",IFERROR(XLOOKUP([@Basis_type],tblInstellingen[Basis verloftype],tblInstellingen[Aanvullingsrechtig]),"ONBEKEND"))</f>
        <v/>
      </c>
      <c r="R146">
        <f>IF(OR([@Opbouwjaar]="",[@[Type verlof]]=""),0,IFERROR(INDEX(FILTER(tblAanvulling[Totaalbedrag],(tblAanvulling[Mdw.]=[@[Mdw.]])*(tblAanvulling[Bkjr.]=[@Opbouwjaar]),0),1),0))</f>
        <v/>
      </c>
      <c r="S146">
        <f>IF([@Aanvullingsrechtig]="Ja",[@Beginsaldo]*[@Aanvulling_pu],0)</f>
        <v/>
      </c>
      <c r="T146">
        <f>IF(AND([@Opbouwjaar]&lt;&gt;"",[@Beginsaldo]&lt;&gt;0,OR([@Aanvullingsrechtig]="Ja",[@Aanvullingsrechtig]="Nee")),1,0)</f>
        <v/>
      </c>
    </row>
    <row r="147">
      <c r="O147">
        <f>LET(t,[@[Type verlof]],s,SEQUENCE(MAX(1,LEN(t)-3)),k,IFERROR(--MID(t,s,4),0),g,FILTER(k,(k&gt;=2000)*(k&lt;=2100),""),IFERROR(INDEX(g,1),""))</f>
        <v/>
      </c>
      <c r="P147">
        <f>LET(t,[@[Type verlof]],jj,[@Opbouwjaar],s,IF(jj="",t,SUBSTITUTE(t," "&amp;jj,"")),TRIM(s))</f>
        <v/>
      </c>
      <c r="Q147">
        <f>IF([@[Type verlof]]="","",IFERROR(XLOOKUP([@Basis_type],tblInstellingen[Basis verloftype],tblInstellingen[Aanvullingsrechtig]),"ONBEKEND"))</f>
        <v/>
      </c>
      <c r="R147">
        <f>IF(OR([@Opbouwjaar]="",[@[Type verlof]]=""),0,IFERROR(INDEX(FILTER(tblAanvulling[Totaalbedrag],(tblAanvulling[Mdw.]=[@[Mdw.]])*(tblAanvulling[Bkjr.]=[@Opbouwjaar]),0),1),0))</f>
        <v/>
      </c>
      <c r="S147">
        <f>IF([@Aanvullingsrechtig]="Ja",[@Beginsaldo]*[@Aanvulling_pu],0)</f>
        <v/>
      </c>
      <c r="T147">
        <f>IF(AND([@Opbouwjaar]&lt;&gt;"",[@Beginsaldo]&lt;&gt;0,OR([@Aanvullingsrechtig]="Ja",[@Aanvullingsrechtig]="Nee")),1,0)</f>
        <v/>
      </c>
    </row>
    <row r="148">
      <c r="O148">
        <f>LET(t,[@[Type verlof]],s,SEQUENCE(MAX(1,LEN(t)-3)),k,IFERROR(--MID(t,s,4),0),g,FILTER(k,(k&gt;=2000)*(k&lt;=2100),""),IFERROR(INDEX(g,1),""))</f>
        <v/>
      </c>
      <c r="P148">
        <f>LET(t,[@[Type verlof]],jj,[@Opbouwjaar],s,IF(jj="",t,SUBSTITUTE(t," "&amp;jj,"")),TRIM(s))</f>
        <v/>
      </c>
      <c r="Q148">
        <f>IF([@[Type verlof]]="","",IFERROR(XLOOKUP([@Basis_type],tblInstellingen[Basis verloftype],tblInstellingen[Aanvullingsrechtig]),"ONBEKEND"))</f>
        <v/>
      </c>
      <c r="R148">
        <f>IF(OR([@Opbouwjaar]="",[@[Type verlof]]=""),0,IFERROR(INDEX(FILTER(tblAanvulling[Totaalbedrag],(tblAanvulling[Mdw.]=[@[Mdw.]])*(tblAanvulling[Bkjr.]=[@Opbouwjaar]),0),1),0))</f>
        <v/>
      </c>
      <c r="S148">
        <f>IF([@Aanvullingsrechtig]="Ja",[@Beginsaldo]*[@Aanvulling_pu],0)</f>
        <v/>
      </c>
      <c r="T148">
        <f>IF(AND([@Opbouwjaar]&lt;&gt;"",[@Beginsaldo]&lt;&gt;0,OR([@Aanvullingsrechtig]="Ja",[@Aanvullingsrechtig]="Nee")),1,0)</f>
        <v/>
      </c>
    </row>
    <row r="149">
      <c r="O149">
        <f>LET(t,[@[Type verlof]],s,SEQUENCE(MAX(1,LEN(t)-3)),k,IFERROR(--MID(t,s,4),0),g,FILTER(k,(k&gt;=2000)*(k&lt;=2100),""),IFERROR(INDEX(g,1),""))</f>
        <v/>
      </c>
      <c r="P149">
        <f>LET(t,[@[Type verlof]],jj,[@Opbouwjaar],s,IF(jj="",t,SUBSTITUTE(t," "&amp;jj,"")),TRIM(s))</f>
        <v/>
      </c>
      <c r="Q149">
        <f>IF([@[Type verlof]]="","",IFERROR(XLOOKUP([@Basis_type],tblInstellingen[Basis verloftype],tblInstellingen[Aanvullingsrechtig]),"ONBEKEND"))</f>
        <v/>
      </c>
      <c r="R149">
        <f>IF(OR([@Opbouwjaar]="",[@[Type verlof]]=""),0,IFERROR(INDEX(FILTER(tblAanvulling[Totaalbedrag],(tblAanvulling[Mdw.]=[@[Mdw.]])*(tblAanvulling[Bkjr.]=[@Opbouwjaar]),0),1),0))</f>
        <v/>
      </c>
      <c r="S149">
        <f>IF([@Aanvullingsrechtig]="Ja",[@Beginsaldo]*[@Aanvulling_pu],0)</f>
        <v/>
      </c>
      <c r="T149">
        <f>IF(AND([@Opbouwjaar]&lt;&gt;"",[@Beginsaldo]&lt;&gt;0,OR([@Aanvullingsrechtig]="Ja",[@Aanvullingsrechtig]="Nee")),1,0)</f>
        <v/>
      </c>
    </row>
    <row r="150">
      <c r="O150">
        <f>LET(t,[@[Type verlof]],s,SEQUENCE(MAX(1,LEN(t)-3)),k,IFERROR(--MID(t,s,4),0),g,FILTER(k,(k&gt;=2000)*(k&lt;=2100),""),IFERROR(INDEX(g,1),""))</f>
        <v/>
      </c>
      <c r="P150">
        <f>LET(t,[@[Type verlof]],jj,[@Opbouwjaar],s,IF(jj="",t,SUBSTITUTE(t," "&amp;jj,"")),TRIM(s))</f>
        <v/>
      </c>
      <c r="Q150">
        <f>IF([@[Type verlof]]="","",IFERROR(XLOOKUP([@Basis_type],tblInstellingen[Basis verloftype],tblInstellingen[Aanvullingsrechtig]),"ONBEKEND"))</f>
        <v/>
      </c>
      <c r="R150">
        <f>IF(OR([@Opbouwjaar]="",[@[Type verlof]]=""),0,IFERROR(INDEX(FILTER(tblAanvulling[Totaalbedrag],(tblAanvulling[Mdw.]=[@[Mdw.]])*(tblAanvulling[Bkjr.]=[@Opbouwjaar]),0),1),0))</f>
        <v/>
      </c>
      <c r="S150">
        <f>IF([@Aanvullingsrechtig]="Ja",[@Beginsaldo]*[@Aanvulling_pu],0)</f>
        <v/>
      </c>
      <c r="T150">
        <f>IF(AND([@Opbouwjaar]&lt;&gt;"",[@Beginsaldo]&lt;&gt;0,OR([@Aanvullingsrechtig]="Ja",[@Aanvullingsrechtig]="Nee")),1,0)</f>
        <v/>
      </c>
    </row>
    <row r="151">
      <c r="O151">
        <f>LET(t,[@[Type verlof]],s,SEQUENCE(MAX(1,LEN(t)-3)),k,IFERROR(--MID(t,s,4),0),g,FILTER(k,(k&gt;=2000)*(k&lt;=2100),""),IFERROR(INDEX(g,1),""))</f>
        <v/>
      </c>
      <c r="P151">
        <f>LET(t,[@[Type verlof]],jj,[@Opbouwjaar],s,IF(jj="",t,SUBSTITUTE(t," "&amp;jj,"")),TRIM(s))</f>
        <v/>
      </c>
      <c r="Q151">
        <f>IF([@[Type verlof]]="","",IFERROR(XLOOKUP([@Basis_type],tblInstellingen[Basis verloftype],tblInstellingen[Aanvullingsrechtig]),"ONBEKEND"))</f>
        <v/>
      </c>
      <c r="R151">
        <f>IF(OR([@Opbouwjaar]="",[@[Type verlof]]=""),0,IFERROR(INDEX(FILTER(tblAanvulling[Totaalbedrag],(tblAanvulling[Mdw.]=[@[Mdw.]])*(tblAanvulling[Bkjr.]=[@Opbouwjaar]),0),1),0))</f>
        <v/>
      </c>
      <c r="S151">
        <f>IF([@Aanvullingsrechtig]="Ja",[@Beginsaldo]*[@Aanvulling_pu],0)</f>
        <v/>
      </c>
      <c r="T151">
        <f>IF(AND([@Opbouwjaar]&lt;&gt;"",[@Beginsaldo]&lt;&gt;0,OR([@Aanvullingsrechtig]="Ja",[@Aanvullingsrechtig]="Nee")),1,0)</f>
        <v/>
      </c>
    </row>
    <row r="152">
      <c r="O152">
        <f>LET(t,[@[Type verlof]],s,SEQUENCE(MAX(1,LEN(t)-3)),k,IFERROR(--MID(t,s,4),0),g,FILTER(k,(k&gt;=2000)*(k&lt;=2100),""),IFERROR(INDEX(g,1),""))</f>
        <v/>
      </c>
      <c r="P152">
        <f>LET(t,[@[Type verlof]],jj,[@Opbouwjaar],s,IF(jj="",t,SUBSTITUTE(t," "&amp;jj,"")),TRIM(s))</f>
        <v/>
      </c>
      <c r="Q152">
        <f>IF([@[Type verlof]]="","",IFERROR(XLOOKUP([@Basis_type],tblInstellingen[Basis verloftype],tblInstellingen[Aanvullingsrechtig]),"ONBEKEND"))</f>
        <v/>
      </c>
      <c r="R152">
        <f>IF(OR([@Opbouwjaar]="",[@[Type verlof]]=""),0,IFERROR(INDEX(FILTER(tblAanvulling[Totaalbedrag],(tblAanvulling[Mdw.]=[@[Mdw.]])*(tblAanvulling[Bkjr.]=[@Opbouwjaar]),0),1),0))</f>
        <v/>
      </c>
      <c r="S152">
        <f>IF([@Aanvullingsrechtig]="Ja",[@Beginsaldo]*[@Aanvulling_pu],0)</f>
        <v/>
      </c>
      <c r="T152">
        <f>IF(AND([@Opbouwjaar]&lt;&gt;"",[@Beginsaldo]&lt;&gt;0,OR([@Aanvullingsrechtig]="Ja",[@Aanvullingsrechtig]="Nee")),1,0)</f>
        <v/>
      </c>
    </row>
    <row r="153">
      <c r="O153">
        <f>LET(t,[@[Type verlof]],s,SEQUENCE(MAX(1,LEN(t)-3)),k,IFERROR(--MID(t,s,4),0),g,FILTER(k,(k&gt;=2000)*(k&lt;=2100),""),IFERROR(INDEX(g,1),""))</f>
        <v/>
      </c>
      <c r="P153">
        <f>LET(t,[@[Type verlof]],jj,[@Opbouwjaar],s,IF(jj="",t,SUBSTITUTE(t," "&amp;jj,"")),TRIM(s))</f>
        <v/>
      </c>
      <c r="Q153">
        <f>IF([@[Type verlof]]="","",IFERROR(XLOOKUP([@Basis_type],tblInstellingen[Basis verloftype],tblInstellingen[Aanvullingsrechtig]),"ONBEKEND"))</f>
        <v/>
      </c>
      <c r="R153">
        <f>IF(OR([@Opbouwjaar]="",[@[Type verlof]]=""),0,IFERROR(INDEX(FILTER(tblAanvulling[Totaalbedrag],(tblAanvulling[Mdw.]=[@[Mdw.]])*(tblAanvulling[Bkjr.]=[@Opbouwjaar]),0),1),0))</f>
        <v/>
      </c>
      <c r="S153">
        <f>IF([@Aanvullingsrechtig]="Ja",[@Beginsaldo]*[@Aanvulling_pu],0)</f>
        <v/>
      </c>
      <c r="T153">
        <f>IF(AND([@Opbouwjaar]&lt;&gt;"",[@Beginsaldo]&lt;&gt;0,OR([@Aanvullingsrechtig]="Ja",[@Aanvullingsrechtig]="Nee")),1,0)</f>
        <v/>
      </c>
    </row>
    <row r="154">
      <c r="O154">
        <f>LET(t,[@[Type verlof]],s,SEQUENCE(MAX(1,LEN(t)-3)),k,IFERROR(--MID(t,s,4),0),g,FILTER(k,(k&gt;=2000)*(k&lt;=2100),""),IFERROR(INDEX(g,1),""))</f>
        <v/>
      </c>
      <c r="P154">
        <f>LET(t,[@[Type verlof]],jj,[@Opbouwjaar],s,IF(jj="",t,SUBSTITUTE(t," "&amp;jj,"")),TRIM(s))</f>
        <v/>
      </c>
      <c r="Q154">
        <f>IF([@[Type verlof]]="","",IFERROR(XLOOKUP([@Basis_type],tblInstellingen[Basis verloftype],tblInstellingen[Aanvullingsrechtig]),"ONBEKEND"))</f>
        <v/>
      </c>
      <c r="R154">
        <f>IF(OR([@Opbouwjaar]="",[@[Type verlof]]=""),0,IFERROR(INDEX(FILTER(tblAanvulling[Totaalbedrag],(tblAanvulling[Mdw.]=[@[Mdw.]])*(tblAanvulling[Bkjr.]=[@Opbouwjaar]),0),1),0))</f>
        <v/>
      </c>
      <c r="S154">
        <f>IF([@Aanvullingsrechtig]="Ja",[@Beginsaldo]*[@Aanvulling_pu],0)</f>
        <v/>
      </c>
      <c r="T154">
        <f>IF(AND([@Opbouwjaar]&lt;&gt;"",[@Beginsaldo]&lt;&gt;0,OR([@Aanvullingsrechtig]="Ja",[@Aanvullingsrechtig]="Nee")),1,0)</f>
        <v/>
      </c>
    </row>
    <row r="155">
      <c r="O155">
        <f>LET(t,[@[Type verlof]],s,SEQUENCE(MAX(1,LEN(t)-3)),k,IFERROR(--MID(t,s,4),0),g,FILTER(k,(k&gt;=2000)*(k&lt;=2100),""),IFERROR(INDEX(g,1),""))</f>
        <v/>
      </c>
      <c r="P155">
        <f>LET(t,[@[Type verlof]],jj,[@Opbouwjaar],s,IF(jj="",t,SUBSTITUTE(t," "&amp;jj,"")),TRIM(s))</f>
        <v/>
      </c>
      <c r="Q155">
        <f>IF([@[Type verlof]]="","",IFERROR(XLOOKUP([@Basis_type],tblInstellingen[Basis verloftype],tblInstellingen[Aanvullingsrechtig]),"ONBEKEND"))</f>
        <v/>
      </c>
      <c r="R155">
        <f>IF(OR([@Opbouwjaar]="",[@[Type verlof]]=""),0,IFERROR(INDEX(FILTER(tblAanvulling[Totaalbedrag],(tblAanvulling[Mdw.]=[@[Mdw.]])*(tblAanvulling[Bkjr.]=[@Opbouwjaar]),0),1),0))</f>
        <v/>
      </c>
      <c r="S155">
        <f>IF([@Aanvullingsrechtig]="Ja",[@Beginsaldo]*[@Aanvulling_pu],0)</f>
        <v/>
      </c>
      <c r="T155">
        <f>IF(AND([@Opbouwjaar]&lt;&gt;"",[@Beginsaldo]&lt;&gt;0,OR([@Aanvullingsrechtig]="Ja",[@Aanvullingsrechtig]="Nee")),1,0)</f>
        <v/>
      </c>
    </row>
    <row r="156">
      <c r="O156">
        <f>LET(t,[@[Type verlof]],s,SEQUENCE(MAX(1,LEN(t)-3)),k,IFERROR(--MID(t,s,4),0),g,FILTER(k,(k&gt;=2000)*(k&lt;=2100),""),IFERROR(INDEX(g,1),""))</f>
        <v/>
      </c>
      <c r="P156">
        <f>LET(t,[@[Type verlof]],jj,[@Opbouwjaar],s,IF(jj="",t,SUBSTITUTE(t," "&amp;jj,"")),TRIM(s))</f>
        <v/>
      </c>
      <c r="Q156">
        <f>IF([@[Type verlof]]="","",IFERROR(XLOOKUP([@Basis_type],tblInstellingen[Basis verloftype],tblInstellingen[Aanvullingsrechtig]),"ONBEKEND"))</f>
        <v/>
      </c>
      <c r="R156">
        <f>IF(OR([@Opbouwjaar]="",[@[Type verlof]]=""),0,IFERROR(INDEX(FILTER(tblAanvulling[Totaalbedrag],(tblAanvulling[Mdw.]=[@[Mdw.]])*(tblAanvulling[Bkjr.]=[@Opbouwjaar]),0),1),0))</f>
        <v/>
      </c>
      <c r="S156">
        <f>IF([@Aanvullingsrechtig]="Ja",[@Beginsaldo]*[@Aanvulling_pu],0)</f>
        <v/>
      </c>
      <c r="T156">
        <f>IF(AND([@Opbouwjaar]&lt;&gt;"",[@Beginsaldo]&lt;&gt;0,OR([@Aanvullingsrechtig]="Ja",[@Aanvullingsrechtig]="Nee")),1,0)</f>
        <v/>
      </c>
    </row>
    <row r="157">
      <c r="O157">
        <f>LET(t,[@[Type verlof]],s,SEQUENCE(MAX(1,LEN(t)-3)),k,IFERROR(--MID(t,s,4),0),g,FILTER(k,(k&gt;=2000)*(k&lt;=2100),""),IFERROR(INDEX(g,1),""))</f>
        <v/>
      </c>
      <c r="P157">
        <f>LET(t,[@[Type verlof]],jj,[@Opbouwjaar],s,IF(jj="",t,SUBSTITUTE(t," "&amp;jj,"")),TRIM(s))</f>
        <v/>
      </c>
      <c r="Q157">
        <f>IF([@[Type verlof]]="","",IFERROR(XLOOKUP([@Basis_type],tblInstellingen[Basis verloftype],tblInstellingen[Aanvullingsrechtig]),"ONBEKEND"))</f>
        <v/>
      </c>
      <c r="R157">
        <f>IF(OR([@Opbouwjaar]="",[@[Type verlof]]=""),0,IFERROR(INDEX(FILTER(tblAanvulling[Totaalbedrag],(tblAanvulling[Mdw.]=[@[Mdw.]])*(tblAanvulling[Bkjr.]=[@Opbouwjaar]),0),1),0))</f>
        <v/>
      </c>
      <c r="S157">
        <f>IF([@Aanvullingsrechtig]="Ja",[@Beginsaldo]*[@Aanvulling_pu],0)</f>
        <v/>
      </c>
      <c r="T157">
        <f>IF(AND([@Opbouwjaar]&lt;&gt;"",[@Beginsaldo]&lt;&gt;0,OR([@Aanvullingsrechtig]="Ja",[@Aanvullingsrechtig]="Nee")),1,0)</f>
        <v/>
      </c>
    </row>
    <row r="158">
      <c r="O158">
        <f>LET(t,[@[Type verlof]],s,SEQUENCE(MAX(1,LEN(t)-3)),k,IFERROR(--MID(t,s,4),0),g,FILTER(k,(k&gt;=2000)*(k&lt;=2100),""),IFERROR(INDEX(g,1),""))</f>
        <v/>
      </c>
      <c r="P158">
        <f>LET(t,[@[Type verlof]],jj,[@Opbouwjaar],s,IF(jj="",t,SUBSTITUTE(t," "&amp;jj,"")),TRIM(s))</f>
        <v/>
      </c>
      <c r="Q158">
        <f>IF([@[Type verlof]]="","",IFERROR(XLOOKUP([@Basis_type],tblInstellingen[Basis verloftype],tblInstellingen[Aanvullingsrechtig]),"ONBEKEND"))</f>
        <v/>
      </c>
      <c r="R158">
        <f>IF(OR([@Opbouwjaar]="",[@[Type verlof]]=""),0,IFERROR(INDEX(FILTER(tblAanvulling[Totaalbedrag],(tblAanvulling[Mdw.]=[@[Mdw.]])*(tblAanvulling[Bkjr.]=[@Opbouwjaar]),0),1),0))</f>
        <v/>
      </c>
      <c r="S158">
        <f>IF([@Aanvullingsrechtig]="Ja",[@Beginsaldo]*[@Aanvulling_pu],0)</f>
        <v/>
      </c>
      <c r="T158">
        <f>IF(AND([@Opbouwjaar]&lt;&gt;"",[@Beginsaldo]&lt;&gt;0,OR([@Aanvullingsrechtig]="Ja",[@Aanvullingsrechtig]="Nee")),1,0)</f>
        <v/>
      </c>
    </row>
    <row r="159">
      <c r="O159">
        <f>LET(t,[@[Type verlof]],s,SEQUENCE(MAX(1,LEN(t)-3)),k,IFERROR(--MID(t,s,4),0),g,FILTER(k,(k&gt;=2000)*(k&lt;=2100),""),IFERROR(INDEX(g,1),""))</f>
        <v/>
      </c>
      <c r="P159">
        <f>LET(t,[@[Type verlof]],jj,[@Opbouwjaar],s,IF(jj="",t,SUBSTITUTE(t," "&amp;jj,"")),TRIM(s))</f>
        <v/>
      </c>
      <c r="Q159">
        <f>IF([@[Type verlof]]="","",IFERROR(XLOOKUP([@Basis_type],tblInstellingen[Basis verloftype],tblInstellingen[Aanvullingsrechtig]),"ONBEKEND"))</f>
        <v/>
      </c>
      <c r="R159">
        <f>IF(OR([@Opbouwjaar]="",[@[Type verlof]]=""),0,IFERROR(INDEX(FILTER(tblAanvulling[Totaalbedrag],(tblAanvulling[Mdw.]=[@[Mdw.]])*(tblAanvulling[Bkjr.]=[@Opbouwjaar]),0),1),0))</f>
        <v/>
      </c>
      <c r="S159">
        <f>IF([@Aanvullingsrechtig]="Ja",[@Beginsaldo]*[@Aanvulling_pu],0)</f>
        <v/>
      </c>
      <c r="T159">
        <f>IF(AND([@Opbouwjaar]&lt;&gt;"",[@Beginsaldo]&lt;&gt;0,OR([@Aanvullingsrechtig]="Ja",[@Aanvullingsrechtig]="Nee")),1,0)</f>
        <v/>
      </c>
    </row>
    <row r="160">
      <c r="O160">
        <f>LET(t,[@[Type verlof]],s,SEQUENCE(MAX(1,LEN(t)-3)),k,IFERROR(--MID(t,s,4),0),g,FILTER(k,(k&gt;=2000)*(k&lt;=2100),""),IFERROR(INDEX(g,1),""))</f>
        <v/>
      </c>
      <c r="P160">
        <f>LET(t,[@[Type verlof]],jj,[@Opbouwjaar],s,IF(jj="",t,SUBSTITUTE(t," "&amp;jj,"")),TRIM(s))</f>
        <v/>
      </c>
      <c r="Q160">
        <f>IF([@[Type verlof]]="","",IFERROR(XLOOKUP([@Basis_type],tblInstellingen[Basis verloftype],tblInstellingen[Aanvullingsrechtig]),"ONBEKEND"))</f>
        <v/>
      </c>
      <c r="R160">
        <f>IF(OR([@Opbouwjaar]="",[@[Type verlof]]=""),0,IFERROR(INDEX(FILTER(tblAanvulling[Totaalbedrag],(tblAanvulling[Mdw.]=[@[Mdw.]])*(tblAanvulling[Bkjr.]=[@Opbouwjaar]),0),1),0))</f>
        <v/>
      </c>
      <c r="S160">
        <f>IF([@Aanvullingsrechtig]="Ja",[@Beginsaldo]*[@Aanvulling_pu],0)</f>
        <v/>
      </c>
      <c r="T160">
        <f>IF(AND([@Opbouwjaar]&lt;&gt;"",[@Beginsaldo]&lt;&gt;0,OR([@Aanvullingsrechtig]="Ja",[@Aanvullingsrechtig]="Nee")),1,0)</f>
        <v/>
      </c>
    </row>
    <row r="161">
      <c r="O161">
        <f>LET(t,[@[Type verlof]],s,SEQUENCE(MAX(1,LEN(t)-3)),k,IFERROR(--MID(t,s,4),0),g,FILTER(k,(k&gt;=2000)*(k&lt;=2100),""),IFERROR(INDEX(g,1),""))</f>
        <v/>
      </c>
      <c r="P161">
        <f>LET(t,[@[Type verlof]],jj,[@Opbouwjaar],s,IF(jj="",t,SUBSTITUTE(t," "&amp;jj,"")),TRIM(s))</f>
        <v/>
      </c>
      <c r="Q161">
        <f>IF([@[Type verlof]]="","",IFERROR(XLOOKUP([@Basis_type],tblInstellingen[Basis verloftype],tblInstellingen[Aanvullingsrechtig]),"ONBEKEND"))</f>
        <v/>
      </c>
      <c r="R161">
        <f>IF(OR([@Opbouwjaar]="",[@[Type verlof]]=""),0,IFERROR(INDEX(FILTER(tblAanvulling[Totaalbedrag],(tblAanvulling[Mdw.]=[@[Mdw.]])*(tblAanvulling[Bkjr.]=[@Opbouwjaar]),0),1),0))</f>
        <v/>
      </c>
      <c r="S161">
        <f>IF([@Aanvullingsrechtig]="Ja",[@Beginsaldo]*[@Aanvulling_pu],0)</f>
        <v/>
      </c>
      <c r="T161">
        <f>IF(AND([@Opbouwjaar]&lt;&gt;"",[@Beginsaldo]&lt;&gt;0,OR([@Aanvullingsrechtig]="Ja",[@Aanvullingsrechtig]="Nee")),1,0)</f>
        <v/>
      </c>
    </row>
    <row r="162">
      <c r="O162">
        <f>LET(t,[@[Type verlof]],s,SEQUENCE(MAX(1,LEN(t)-3)),k,IFERROR(--MID(t,s,4),0),g,FILTER(k,(k&gt;=2000)*(k&lt;=2100),""),IFERROR(INDEX(g,1),""))</f>
        <v/>
      </c>
      <c r="P162">
        <f>LET(t,[@[Type verlof]],jj,[@Opbouwjaar],s,IF(jj="",t,SUBSTITUTE(t," "&amp;jj,"")),TRIM(s))</f>
        <v/>
      </c>
      <c r="Q162">
        <f>IF([@[Type verlof]]="","",IFERROR(XLOOKUP([@Basis_type],tblInstellingen[Basis verloftype],tblInstellingen[Aanvullingsrechtig]),"ONBEKEND"))</f>
        <v/>
      </c>
      <c r="R162">
        <f>IF(OR([@Opbouwjaar]="",[@[Type verlof]]=""),0,IFERROR(INDEX(FILTER(tblAanvulling[Totaalbedrag],(tblAanvulling[Mdw.]=[@[Mdw.]])*(tblAanvulling[Bkjr.]=[@Opbouwjaar]),0),1),0))</f>
        <v/>
      </c>
      <c r="S162">
        <f>IF([@Aanvullingsrechtig]="Ja",[@Beginsaldo]*[@Aanvulling_pu],0)</f>
        <v/>
      </c>
      <c r="T162">
        <f>IF(AND([@Opbouwjaar]&lt;&gt;"",[@Beginsaldo]&lt;&gt;0,OR([@Aanvullingsrechtig]="Ja",[@Aanvullingsrechtig]="Nee")),1,0)</f>
        <v/>
      </c>
    </row>
    <row r="163">
      <c r="O163">
        <f>LET(t,[@[Type verlof]],s,SEQUENCE(MAX(1,LEN(t)-3)),k,IFERROR(--MID(t,s,4),0),g,FILTER(k,(k&gt;=2000)*(k&lt;=2100),""),IFERROR(INDEX(g,1),""))</f>
        <v/>
      </c>
      <c r="P163">
        <f>LET(t,[@[Type verlof]],jj,[@Opbouwjaar],s,IF(jj="",t,SUBSTITUTE(t," "&amp;jj,"")),TRIM(s))</f>
        <v/>
      </c>
      <c r="Q163">
        <f>IF([@[Type verlof]]="","",IFERROR(XLOOKUP([@Basis_type],tblInstellingen[Basis verloftype],tblInstellingen[Aanvullingsrechtig]),"ONBEKEND"))</f>
        <v/>
      </c>
      <c r="R163">
        <f>IF(OR([@Opbouwjaar]="",[@[Type verlof]]=""),0,IFERROR(INDEX(FILTER(tblAanvulling[Totaalbedrag],(tblAanvulling[Mdw.]=[@[Mdw.]])*(tblAanvulling[Bkjr.]=[@Opbouwjaar]),0),1),0))</f>
        <v/>
      </c>
      <c r="S163">
        <f>IF([@Aanvullingsrechtig]="Ja",[@Beginsaldo]*[@Aanvulling_pu],0)</f>
        <v/>
      </c>
      <c r="T163">
        <f>IF(AND([@Opbouwjaar]&lt;&gt;"",[@Beginsaldo]&lt;&gt;0,OR([@Aanvullingsrechtig]="Ja",[@Aanvullingsrechtig]="Nee")),1,0)</f>
        <v/>
      </c>
    </row>
    <row r="164">
      <c r="O164">
        <f>LET(t,[@[Type verlof]],s,SEQUENCE(MAX(1,LEN(t)-3)),k,IFERROR(--MID(t,s,4),0),g,FILTER(k,(k&gt;=2000)*(k&lt;=2100),""),IFERROR(INDEX(g,1),""))</f>
        <v/>
      </c>
      <c r="P164">
        <f>LET(t,[@[Type verlof]],jj,[@Opbouwjaar],s,IF(jj="",t,SUBSTITUTE(t," "&amp;jj,"")),TRIM(s))</f>
        <v/>
      </c>
      <c r="Q164">
        <f>IF([@[Type verlof]]="","",IFERROR(XLOOKUP([@Basis_type],tblInstellingen[Basis verloftype],tblInstellingen[Aanvullingsrechtig]),"ONBEKEND"))</f>
        <v/>
      </c>
      <c r="R164">
        <f>IF(OR([@Opbouwjaar]="",[@[Type verlof]]=""),0,IFERROR(INDEX(FILTER(tblAanvulling[Totaalbedrag],(tblAanvulling[Mdw.]=[@[Mdw.]])*(tblAanvulling[Bkjr.]=[@Opbouwjaar]),0),1),0))</f>
        <v/>
      </c>
      <c r="S164">
        <f>IF([@Aanvullingsrechtig]="Ja",[@Beginsaldo]*[@Aanvulling_pu],0)</f>
        <v/>
      </c>
      <c r="T164">
        <f>IF(AND([@Opbouwjaar]&lt;&gt;"",[@Beginsaldo]&lt;&gt;0,OR([@Aanvullingsrechtig]="Ja",[@Aanvullingsrechtig]="Nee")),1,0)</f>
        <v/>
      </c>
    </row>
    <row r="165">
      <c r="O165">
        <f>LET(t,[@[Type verlof]],s,SEQUENCE(MAX(1,LEN(t)-3)),k,IFERROR(--MID(t,s,4),0),g,FILTER(k,(k&gt;=2000)*(k&lt;=2100),""),IFERROR(INDEX(g,1),""))</f>
        <v/>
      </c>
      <c r="P165">
        <f>LET(t,[@[Type verlof]],jj,[@Opbouwjaar],s,IF(jj="",t,SUBSTITUTE(t," "&amp;jj,"")),TRIM(s))</f>
        <v/>
      </c>
      <c r="Q165">
        <f>IF([@[Type verlof]]="","",IFERROR(XLOOKUP([@Basis_type],tblInstellingen[Basis verloftype],tblInstellingen[Aanvullingsrechtig]),"ONBEKEND"))</f>
        <v/>
      </c>
      <c r="R165">
        <f>IF(OR([@Opbouwjaar]="",[@[Type verlof]]=""),0,IFERROR(INDEX(FILTER(tblAanvulling[Totaalbedrag],(tblAanvulling[Mdw.]=[@[Mdw.]])*(tblAanvulling[Bkjr.]=[@Opbouwjaar]),0),1),0))</f>
        <v/>
      </c>
      <c r="S165">
        <f>IF([@Aanvullingsrechtig]="Ja",[@Beginsaldo]*[@Aanvulling_pu],0)</f>
        <v/>
      </c>
      <c r="T165">
        <f>IF(AND([@Opbouwjaar]&lt;&gt;"",[@Beginsaldo]&lt;&gt;0,OR([@Aanvullingsrechtig]="Ja",[@Aanvullingsrechtig]="Nee")),1,0)</f>
        <v/>
      </c>
    </row>
    <row r="166">
      <c r="O166">
        <f>LET(t,[@[Type verlof]],s,SEQUENCE(MAX(1,LEN(t)-3)),k,IFERROR(--MID(t,s,4),0),g,FILTER(k,(k&gt;=2000)*(k&lt;=2100),""),IFERROR(INDEX(g,1),""))</f>
        <v/>
      </c>
      <c r="P166">
        <f>LET(t,[@[Type verlof]],jj,[@Opbouwjaar],s,IF(jj="",t,SUBSTITUTE(t," "&amp;jj,"")),TRIM(s))</f>
        <v/>
      </c>
      <c r="Q166">
        <f>IF([@[Type verlof]]="","",IFERROR(XLOOKUP([@Basis_type],tblInstellingen[Basis verloftype],tblInstellingen[Aanvullingsrechtig]),"ONBEKEND"))</f>
        <v/>
      </c>
      <c r="R166">
        <f>IF(OR([@Opbouwjaar]="",[@[Type verlof]]=""),0,IFERROR(INDEX(FILTER(tblAanvulling[Totaalbedrag],(tblAanvulling[Mdw.]=[@[Mdw.]])*(tblAanvulling[Bkjr.]=[@Opbouwjaar]),0),1),0))</f>
        <v/>
      </c>
      <c r="S166">
        <f>IF([@Aanvullingsrechtig]="Ja",[@Beginsaldo]*[@Aanvulling_pu],0)</f>
        <v/>
      </c>
      <c r="T166">
        <f>IF(AND([@Opbouwjaar]&lt;&gt;"",[@Beginsaldo]&lt;&gt;0,OR([@Aanvullingsrechtig]="Ja",[@Aanvullingsrechtig]="Nee")),1,0)</f>
        <v/>
      </c>
    </row>
    <row r="167">
      <c r="O167">
        <f>LET(t,[@[Type verlof]],s,SEQUENCE(MAX(1,LEN(t)-3)),k,IFERROR(--MID(t,s,4),0),g,FILTER(k,(k&gt;=2000)*(k&lt;=2100),""),IFERROR(INDEX(g,1),""))</f>
        <v/>
      </c>
      <c r="P167">
        <f>LET(t,[@[Type verlof]],jj,[@Opbouwjaar],s,IF(jj="",t,SUBSTITUTE(t," "&amp;jj,"")),TRIM(s))</f>
        <v/>
      </c>
      <c r="Q167">
        <f>IF([@[Type verlof]]="","",IFERROR(XLOOKUP([@Basis_type],tblInstellingen[Basis verloftype],tblInstellingen[Aanvullingsrechtig]),"ONBEKEND"))</f>
        <v/>
      </c>
      <c r="R167">
        <f>IF(OR([@Opbouwjaar]="",[@[Type verlof]]=""),0,IFERROR(INDEX(FILTER(tblAanvulling[Totaalbedrag],(tblAanvulling[Mdw.]=[@[Mdw.]])*(tblAanvulling[Bkjr.]=[@Opbouwjaar]),0),1),0))</f>
        <v/>
      </c>
      <c r="S167">
        <f>IF([@Aanvullingsrechtig]="Ja",[@Beginsaldo]*[@Aanvulling_pu],0)</f>
        <v/>
      </c>
      <c r="T167">
        <f>IF(AND([@Opbouwjaar]&lt;&gt;"",[@Beginsaldo]&lt;&gt;0,OR([@Aanvullingsrechtig]="Ja",[@Aanvullingsrechtig]="Nee")),1,0)</f>
        <v/>
      </c>
    </row>
    <row r="168">
      <c r="O168">
        <f>LET(t,[@[Type verlof]],s,SEQUENCE(MAX(1,LEN(t)-3)),k,IFERROR(--MID(t,s,4),0),g,FILTER(k,(k&gt;=2000)*(k&lt;=2100),""),IFERROR(INDEX(g,1),""))</f>
        <v/>
      </c>
      <c r="P168">
        <f>LET(t,[@[Type verlof]],jj,[@Opbouwjaar],s,IF(jj="",t,SUBSTITUTE(t," "&amp;jj,"")),TRIM(s))</f>
        <v/>
      </c>
      <c r="Q168">
        <f>IF([@[Type verlof]]="","",IFERROR(XLOOKUP([@Basis_type],tblInstellingen[Basis verloftype],tblInstellingen[Aanvullingsrechtig]),"ONBEKEND"))</f>
        <v/>
      </c>
      <c r="R168">
        <f>IF(OR([@Opbouwjaar]="",[@[Type verlof]]=""),0,IFERROR(INDEX(FILTER(tblAanvulling[Totaalbedrag],(tblAanvulling[Mdw.]=[@[Mdw.]])*(tblAanvulling[Bkjr.]=[@Opbouwjaar]),0),1),0))</f>
        <v/>
      </c>
      <c r="S168">
        <f>IF([@Aanvullingsrechtig]="Ja",[@Beginsaldo]*[@Aanvulling_pu],0)</f>
        <v/>
      </c>
      <c r="T168">
        <f>IF(AND([@Opbouwjaar]&lt;&gt;"",[@Beginsaldo]&lt;&gt;0,OR([@Aanvullingsrechtig]="Ja",[@Aanvullingsrechtig]="Nee")),1,0)</f>
        <v/>
      </c>
    </row>
    <row r="169">
      <c r="O169">
        <f>LET(t,[@[Type verlof]],s,SEQUENCE(MAX(1,LEN(t)-3)),k,IFERROR(--MID(t,s,4),0),g,FILTER(k,(k&gt;=2000)*(k&lt;=2100),""),IFERROR(INDEX(g,1),""))</f>
        <v/>
      </c>
      <c r="P169">
        <f>LET(t,[@[Type verlof]],jj,[@Opbouwjaar],s,IF(jj="",t,SUBSTITUTE(t," "&amp;jj,"")),TRIM(s))</f>
        <v/>
      </c>
      <c r="Q169">
        <f>IF([@[Type verlof]]="","",IFERROR(XLOOKUP([@Basis_type],tblInstellingen[Basis verloftype],tblInstellingen[Aanvullingsrechtig]),"ONBEKEND"))</f>
        <v/>
      </c>
      <c r="R169">
        <f>IF(OR([@Opbouwjaar]="",[@[Type verlof]]=""),0,IFERROR(INDEX(FILTER(tblAanvulling[Totaalbedrag],(tblAanvulling[Mdw.]=[@[Mdw.]])*(tblAanvulling[Bkjr.]=[@Opbouwjaar]),0),1),0))</f>
        <v/>
      </c>
      <c r="S169">
        <f>IF([@Aanvullingsrechtig]="Ja",[@Beginsaldo]*[@Aanvulling_pu],0)</f>
        <v/>
      </c>
      <c r="T169">
        <f>IF(AND([@Opbouwjaar]&lt;&gt;"",[@Beginsaldo]&lt;&gt;0,OR([@Aanvullingsrechtig]="Ja",[@Aanvullingsrechtig]="Nee")),1,0)</f>
        <v/>
      </c>
    </row>
    <row r="170">
      <c r="O170">
        <f>LET(t,[@[Type verlof]],s,SEQUENCE(MAX(1,LEN(t)-3)),k,IFERROR(--MID(t,s,4),0),g,FILTER(k,(k&gt;=2000)*(k&lt;=2100),""),IFERROR(INDEX(g,1),""))</f>
        <v/>
      </c>
      <c r="P170">
        <f>LET(t,[@[Type verlof]],jj,[@Opbouwjaar],s,IF(jj="",t,SUBSTITUTE(t," "&amp;jj,"")),TRIM(s))</f>
        <v/>
      </c>
      <c r="Q170">
        <f>IF([@[Type verlof]]="","",IFERROR(XLOOKUP([@Basis_type],tblInstellingen[Basis verloftype],tblInstellingen[Aanvullingsrechtig]),"ONBEKEND"))</f>
        <v/>
      </c>
      <c r="R170">
        <f>IF(OR([@Opbouwjaar]="",[@[Type verlof]]=""),0,IFERROR(INDEX(FILTER(tblAanvulling[Totaalbedrag],(tblAanvulling[Mdw.]=[@[Mdw.]])*(tblAanvulling[Bkjr.]=[@Opbouwjaar]),0),1),0))</f>
        <v/>
      </c>
      <c r="S170">
        <f>IF([@Aanvullingsrechtig]="Ja",[@Beginsaldo]*[@Aanvulling_pu],0)</f>
        <v/>
      </c>
      <c r="T170">
        <f>IF(AND([@Opbouwjaar]&lt;&gt;"",[@Beginsaldo]&lt;&gt;0,OR([@Aanvullingsrechtig]="Ja",[@Aanvullingsrechtig]="Nee")),1,0)</f>
        <v/>
      </c>
    </row>
    <row r="171">
      <c r="O171">
        <f>LET(t,[@[Type verlof]],s,SEQUENCE(MAX(1,LEN(t)-3)),k,IFERROR(--MID(t,s,4),0),g,FILTER(k,(k&gt;=2000)*(k&lt;=2100),""),IFERROR(INDEX(g,1),""))</f>
        <v/>
      </c>
      <c r="P171">
        <f>LET(t,[@[Type verlof]],jj,[@Opbouwjaar],s,IF(jj="",t,SUBSTITUTE(t," "&amp;jj,"")),TRIM(s))</f>
        <v/>
      </c>
      <c r="Q171">
        <f>IF([@[Type verlof]]="","",IFERROR(XLOOKUP([@Basis_type],tblInstellingen[Basis verloftype],tblInstellingen[Aanvullingsrechtig]),"ONBEKEND"))</f>
        <v/>
      </c>
      <c r="R171">
        <f>IF(OR([@Opbouwjaar]="",[@[Type verlof]]=""),0,IFERROR(INDEX(FILTER(tblAanvulling[Totaalbedrag],(tblAanvulling[Mdw.]=[@[Mdw.]])*(tblAanvulling[Bkjr.]=[@Opbouwjaar]),0),1),0))</f>
        <v/>
      </c>
      <c r="S171">
        <f>IF([@Aanvullingsrechtig]="Ja",[@Beginsaldo]*[@Aanvulling_pu],0)</f>
        <v/>
      </c>
      <c r="T171">
        <f>IF(AND([@Opbouwjaar]&lt;&gt;"",[@Beginsaldo]&lt;&gt;0,OR([@Aanvullingsrechtig]="Ja",[@Aanvullingsrechtig]="Nee")),1,0)</f>
        <v/>
      </c>
    </row>
    <row r="172">
      <c r="O172">
        <f>LET(t,[@[Type verlof]],s,SEQUENCE(MAX(1,LEN(t)-3)),k,IFERROR(--MID(t,s,4),0),g,FILTER(k,(k&gt;=2000)*(k&lt;=2100),""),IFERROR(INDEX(g,1),""))</f>
        <v/>
      </c>
      <c r="P172">
        <f>LET(t,[@[Type verlof]],jj,[@Opbouwjaar],s,IF(jj="",t,SUBSTITUTE(t," "&amp;jj,"")),TRIM(s))</f>
        <v/>
      </c>
      <c r="Q172">
        <f>IF([@[Type verlof]]="","",IFERROR(XLOOKUP([@Basis_type],tblInstellingen[Basis verloftype],tblInstellingen[Aanvullingsrechtig]),"ONBEKEND"))</f>
        <v/>
      </c>
      <c r="R172">
        <f>IF(OR([@Opbouwjaar]="",[@[Type verlof]]=""),0,IFERROR(INDEX(FILTER(tblAanvulling[Totaalbedrag],(tblAanvulling[Mdw.]=[@[Mdw.]])*(tblAanvulling[Bkjr.]=[@Opbouwjaar]),0),1),0))</f>
        <v/>
      </c>
      <c r="S172">
        <f>IF([@Aanvullingsrechtig]="Ja",[@Beginsaldo]*[@Aanvulling_pu],0)</f>
        <v/>
      </c>
      <c r="T172">
        <f>IF(AND([@Opbouwjaar]&lt;&gt;"",[@Beginsaldo]&lt;&gt;0,OR([@Aanvullingsrechtig]="Ja",[@Aanvullingsrechtig]="Nee")),1,0)</f>
        <v/>
      </c>
    </row>
    <row r="173">
      <c r="O173">
        <f>LET(t,[@[Type verlof]],s,SEQUENCE(MAX(1,LEN(t)-3)),k,IFERROR(--MID(t,s,4),0),g,FILTER(k,(k&gt;=2000)*(k&lt;=2100),""),IFERROR(INDEX(g,1),""))</f>
        <v/>
      </c>
      <c r="P173">
        <f>LET(t,[@[Type verlof]],jj,[@Opbouwjaar],s,IF(jj="",t,SUBSTITUTE(t," "&amp;jj,"")),TRIM(s))</f>
        <v/>
      </c>
      <c r="Q173">
        <f>IF([@[Type verlof]]="","",IFERROR(XLOOKUP([@Basis_type],tblInstellingen[Basis verloftype],tblInstellingen[Aanvullingsrechtig]),"ONBEKEND"))</f>
        <v/>
      </c>
      <c r="R173">
        <f>IF(OR([@Opbouwjaar]="",[@[Type verlof]]=""),0,IFERROR(INDEX(FILTER(tblAanvulling[Totaalbedrag],(tblAanvulling[Mdw.]=[@[Mdw.]])*(tblAanvulling[Bkjr.]=[@Opbouwjaar]),0),1),0))</f>
        <v/>
      </c>
      <c r="S173">
        <f>IF([@Aanvullingsrechtig]="Ja",[@Beginsaldo]*[@Aanvulling_pu],0)</f>
        <v/>
      </c>
      <c r="T173">
        <f>IF(AND([@Opbouwjaar]&lt;&gt;"",[@Beginsaldo]&lt;&gt;0,OR([@Aanvullingsrechtig]="Ja",[@Aanvullingsrechtig]="Nee")),1,0)</f>
        <v/>
      </c>
    </row>
    <row r="174">
      <c r="O174">
        <f>LET(t,[@[Type verlof]],s,SEQUENCE(MAX(1,LEN(t)-3)),k,IFERROR(--MID(t,s,4),0),g,FILTER(k,(k&gt;=2000)*(k&lt;=2100),""),IFERROR(INDEX(g,1),""))</f>
        <v/>
      </c>
      <c r="P174">
        <f>LET(t,[@[Type verlof]],jj,[@Opbouwjaar],s,IF(jj="",t,SUBSTITUTE(t," "&amp;jj,"")),TRIM(s))</f>
        <v/>
      </c>
      <c r="Q174">
        <f>IF([@[Type verlof]]="","",IFERROR(XLOOKUP([@Basis_type],tblInstellingen[Basis verloftype],tblInstellingen[Aanvullingsrechtig]),"ONBEKEND"))</f>
        <v/>
      </c>
      <c r="R174">
        <f>IF(OR([@Opbouwjaar]="",[@[Type verlof]]=""),0,IFERROR(INDEX(FILTER(tblAanvulling[Totaalbedrag],(tblAanvulling[Mdw.]=[@[Mdw.]])*(tblAanvulling[Bkjr.]=[@Opbouwjaar]),0),1),0))</f>
        <v/>
      </c>
      <c r="S174">
        <f>IF([@Aanvullingsrechtig]="Ja",[@Beginsaldo]*[@Aanvulling_pu],0)</f>
        <v/>
      </c>
      <c r="T174">
        <f>IF(AND([@Opbouwjaar]&lt;&gt;"",[@Beginsaldo]&lt;&gt;0,OR([@Aanvullingsrechtig]="Ja",[@Aanvullingsrechtig]="Nee")),1,0)</f>
        <v/>
      </c>
    </row>
    <row r="175">
      <c r="O175">
        <f>LET(t,[@[Type verlof]],s,SEQUENCE(MAX(1,LEN(t)-3)),k,IFERROR(--MID(t,s,4),0),g,FILTER(k,(k&gt;=2000)*(k&lt;=2100),""),IFERROR(INDEX(g,1),""))</f>
        <v/>
      </c>
      <c r="P175">
        <f>LET(t,[@[Type verlof]],jj,[@Opbouwjaar],s,IF(jj="",t,SUBSTITUTE(t," "&amp;jj,"")),TRIM(s))</f>
        <v/>
      </c>
      <c r="Q175">
        <f>IF([@[Type verlof]]="","",IFERROR(XLOOKUP([@Basis_type],tblInstellingen[Basis verloftype],tblInstellingen[Aanvullingsrechtig]),"ONBEKEND"))</f>
        <v/>
      </c>
      <c r="R175">
        <f>IF(OR([@Opbouwjaar]="",[@[Type verlof]]=""),0,IFERROR(INDEX(FILTER(tblAanvulling[Totaalbedrag],(tblAanvulling[Mdw.]=[@[Mdw.]])*(tblAanvulling[Bkjr.]=[@Opbouwjaar]),0),1),0))</f>
        <v/>
      </c>
      <c r="S175">
        <f>IF([@Aanvullingsrechtig]="Ja",[@Beginsaldo]*[@Aanvulling_pu],0)</f>
        <v/>
      </c>
      <c r="T175">
        <f>IF(AND([@Opbouwjaar]&lt;&gt;"",[@Beginsaldo]&lt;&gt;0,OR([@Aanvullingsrechtig]="Ja",[@Aanvullingsrechtig]="Nee")),1,0)</f>
        <v/>
      </c>
    </row>
    <row r="176">
      <c r="O176">
        <f>LET(t,[@[Type verlof]],s,SEQUENCE(MAX(1,LEN(t)-3)),k,IFERROR(--MID(t,s,4),0),g,FILTER(k,(k&gt;=2000)*(k&lt;=2100),""),IFERROR(INDEX(g,1),""))</f>
        <v/>
      </c>
      <c r="P176">
        <f>LET(t,[@[Type verlof]],jj,[@Opbouwjaar],s,IF(jj="",t,SUBSTITUTE(t," "&amp;jj,"")),TRIM(s))</f>
        <v/>
      </c>
      <c r="Q176">
        <f>IF([@[Type verlof]]="","",IFERROR(XLOOKUP([@Basis_type],tblInstellingen[Basis verloftype],tblInstellingen[Aanvullingsrechtig]),"ONBEKEND"))</f>
        <v/>
      </c>
      <c r="R176">
        <f>IF(OR([@Opbouwjaar]="",[@[Type verlof]]=""),0,IFERROR(INDEX(FILTER(tblAanvulling[Totaalbedrag],(tblAanvulling[Mdw.]=[@[Mdw.]])*(tblAanvulling[Bkjr.]=[@Opbouwjaar]),0),1),0))</f>
        <v/>
      </c>
      <c r="S176">
        <f>IF([@Aanvullingsrechtig]="Ja",[@Beginsaldo]*[@Aanvulling_pu],0)</f>
        <v/>
      </c>
      <c r="T176">
        <f>IF(AND([@Opbouwjaar]&lt;&gt;"",[@Beginsaldo]&lt;&gt;0,OR([@Aanvullingsrechtig]="Ja",[@Aanvullingsrechtig]="Nee")),1,0)</f>
        <v/>
      </c>
    </row>
    <row r="177">
      <c r="O177">
        <f>LET(t,[@[Type verlof]],s,SEQUENCE(MAX(1,LEN(t)-3)),k,IFERROR(--MID(t,s,4),0),g,FILTER(k,(k&gt;=2000)*(k&lt;=2100),""),IFERROR(INDEX(g,1),""))</f>
        <v/>
      </c>
      <c r="P177">
        <f>LET(t,[@[Type verlof]],jj,[@Opbouwjaar],s,IF(jj="",t,SUBSTITUTE(t," "&amp;jj,"")),TRIM(s))</f>
        <v/>
      </c>
      <c r="Q177">
        <f>IF([@[Type verlof]]="","",IFERROR(XLOOKUP([@Basis_type],tblInstellingen[Basis verloftype],tblInstellingen[Aanvullingsrechtig]),"ONBEKEND"))</f>
        <v/>
      </c>
      <c r="R177">
        <f>IF(OR([@Opbouwjaar]="",[@[Type verlof]]=""),0,IFERROR(INDEX(FILTER(tblAanvulling[Totaalbedrag],(tblAanvulling[Mdw.]=[@[Mdw.]])*(tblAanvulling[Bkjr.]=[@Opbouwjaar]),0),1),0))</f>
        <v/>
      </c>
      <c r="S177">
        <f>IF([@Aanvullingsrechtig]="Ja",[@Beginsaldo]*[@Aanvulling_pu],0)</f>
        <v/>
      </c>
      <c r="T177">
        <f>IF(AND([@Opbouwjaar]&lt;&gt;"",[@Beginsaldo]&lt;&gt;0,OR([@Aanvullingsrechtig]="Ja",[@Aanvullingsrechtig]="Nee")),1,0)</f>
        <v/>
      </c>
    </row>
    <row r="178">
      <c r="O178">
        <f>LET(t,[@[Type verlof]],s,SEQUENCE(MAX(1,LEN(t)-3)),k,IFERROR(--MID(t,s,4),0),g,FILTER(k,(k&gt;=2000)*(k&lt;=2100),""),IFERROR(INDEX(g,1),""))</f>
        <v/>
      </c>
      <c r="P178">
        <f>LET(t,[@[Type verlof]],jj,[@Opbouwjaar],s,IF(jj="",t,SUBSTITUTE(t," "&amp;jj,"")),TRIM(s))</f>
        <v/>
      </c>
      <c r="Q178">
        <f>IF([@[Type verlof]]="","",IFERROR(XLOOKUP([@Basis_type],tblInstellingen[Basis verloftype],tblInstellingen[Aanvullingsrechtig]),"ONBEKEND"))</f>
        <v/>
      </c>
      <c r="R178">
        <f>IF(OR([@Opbouwjaar]="",[@[Type verlof]]=""),0,IFERROR(INDEX(FILTER(tblAanvulling[Totaalbedrag],(tblAanvulling[Mdw.]=[@[Mdw.]])*(tblAanvulling[Bkjr.]=[@Opbouwjaar]),0),1),0))</f>
        <v/>
      </c>
      <c r="S178">
        <f>IF([@Aanvullingsrechtig]="Ja",[@Beginsaldo]*[@Aanvulling_pu],0)</f>
        <v/>
      </c>
      <c r="T178">
        <f>IF(AND([@Opbouwjaar]&lt;&gt;"",[@Beginsaldo]&lt;&gt;0,OR([@Aanvullingsrechtig]="Ja",[@Aanvullingsrechtig]="Nee")),1,0)</f>
        <v/>
      </c>
    </row>
    <row r="179">
      <c r="O179">
        <f>LET(t,[@[Type verlof]],s,SEQUENCE(MAX(1,LEN(t)-3)),k,IFERROR(--MID(t,s,4),0),g,FILTER(k,(k&gt;=2000)*(k&lt;=2100),""),IFERROR(INDEX(g,1),""))</f>
        <v/>
      </c>
      <c r="P179">
        <f>LET(t,[@[Type verlof]],jj,[@Opbouwjaar],s,IF(jj="",t,SUBSTITUTE(t," "&amp;jj,"")),TRIM(s))</f>
        <v/>
      </c>
      <c r="Q179">
        <f>IF([@[Type verlof]]="","",IFERROR(XLOOKUP([@Basis_type],tblInstellingen[Basis verloftype],tblInstellingen[Aanvullingsrechtig]),"ONBEKEND"))</f>
        <v/>
      </c>
      <c r="R179">
        <f>IF(OR([@Opbouwjaar]="",[@[Type verlof]]=""),0,IFERROR(INDEX(FILTER(tblAanvulling[Totaalbedrag],(tblAanvulling[Mdw.]=[@[Mdw.]])*(tblAanvulling[Bkjr.]=[@Opbouwjaar]),0),1),0))</f>
        <v/>
      </c>
      <c r="S179">
        <f>IF([@Aanvullingsrechtig]="Ja",[@Beginsaldo]*[@Aanvulling_pu],0)</f>
        <v/>
      </c>
      <c r="T179">
        <f>IF(AND([@Opbouwjaar]&lt;&gt;"",[@Beginsaldo]&lt;&gt;0,OR([@Aanvullingsrechtig]="Ja",[@Aanvullingsrechtig]="Nee")),1,0)</f>
        <v/>
      </c>
    </row>
    <row r="180">
      <c r="O180">
        <f>LET(t,[@[Type verlof]],s,SEQUENCE(MAX(1,LEN(t)-3)),k,IFERROR(--MID(t,s,4),0),g,FILTER(k,(k&gt;=2000)*(k&lt;=2100),""),IFERROR(INDEX(g,1),""))</f>
        <v/>
      </c>
      <c r="P180">
        <f>LET(t,[@[Type verlof]],jj,[@Opbouwjaar],s,IF(jj="",t,SUBSTITUTE(t," "&amp;jj,"")),TRIM(s))</f>
        <v/>
      </c>
      <c r="Q180">
        <f>IF([@[Type verlof]]="","",IFERROR(XLOOKUP([@Basis_type],tblInstellingen[Basis verloftype],tblInstellingen[Aanvullingsrechtig]),"ONBEKEND"))</f>
        <v/>
      </c>
      <c r="R180">
        <f>IF(OR([@Opbouwjaar]="",[@[Type verlof]]=""),0,IFERROR(INDEX(FILTER(tblAanvulling[Totaalbedrag],(tblAanvulling[Mdw.]=[@[Mdw.]])*(tblAanvulling[Bkjr.]=[@Opbouwjaar]),0),1),0))</f>
        <v/>
      </c>
      <c r="S180">
        <f>IF([@Aanvullingsrechtig]="Ja",[@Beginsaldo]*[@Aanvulling_pu],0)</f>
        <v/>
      </c>
      <c r="T180">
        <f>IF(AND([@Opbouwjaar]&lt;&gt;"",[@Beginsaldo]&lt;&gt;0,OR([@Aanvullingsrechtig]="Ja",[@Aanvullingsrechtig]="Nee")),1,0)</f>
        <v/>
      </c>
    </row>
    <row r="181">
      <c r="O181">
        <f>LET(t,[@[Type verlof]],s,SEQUENCE(MAX(1,LEN(t)-3)),k,IFERROR(--MID(t,s,4),0),g,FILTER(k,(k&gt;=2000)*(k&lt;=2100),""),IFERROR(INDEX(g,1),""))</f>
        <v/>
      </c>
      <c r="P181">
        <f>LET(t,[@[Type verlof]],jj,[@Opbouwjaar],s,IF(jj="",t,SUBSTITUTE(t," "&amp;jj,"")),TRIM(s))</f>
        <v/>
      </c>
      <c r="Q181">
        <f>IF([@[Type verlof]]="","",IFERROR(XLOOKUP([@Basis_type],tblInstellingen[Basis verloftype],tblInstellingen[Aanvullingsrechtig]),"ONBEKEND"))</f>
        <v/>
      </c>
      <c r="R181">
        <f>IF(OR([@Opbouwjaar]="",[@[Type verlof]]=""),0,IFERROR(INDEX(FILTER(tblAanvulling[Totaalbedrag],(tblAanvulling[Mdw.]=[@[Mdw.]])*(tblAanvulling[Bkjr.]=[@Opbouwjaar]),0),1),0))</f>
        <v/>
      </c>
      <c r="S181">
        <f>IF([@Aanvullingsrechtig]="Ja",[@Beginsaldo]*[@Aanvulling_pu],0)</f>
        <v/>
      </c>
      <c r="T181">
        <f>IF(AND([@Opbouwjaar]&lt;&gt;"",[@Beginsaldo]&lt;&gt;0,OR([@Aanvullingsrechtig]="Ja",[@Aanvullingsrechtig]="Nee")),1,0)</f>
        <v/>
      </c>
    </row>
    <row r="182">
      <c r="O182">
        <f>LET(t,[@[Type verlof]],s,SEQUENCE(MAX(1,LEN(t)-3)),k,IFERROR(--MID(t,s,4),0),g,FILTER(k,(k&gt;=2000)*(k&lt;=2100),""),IFERROR(INDEX(g,1),""))</f>
        <v/>
      </c>
      <c r="P182">
        <f>LET(t,[@[Type verlof]],jj,[@Opbouwjaar],s,IF(jj="",t,SUBSTITUTE(t," "&amp;jj,"")),TRIM(s))</f>
        <v/>
      </c>
      <c r="Q182">
        <f>IF([@[Type verlof]]="","",IFERROR(XLOOKUP([@Basis_type],tblInstellingen[Basis verloftype],tblInstellingen[Aanvullingsrechtig]),"ONBEKEND"))</f>
        <v/>
      </c>
      <c r="R182">
        <f>IF(OR([@Opbouwjaar]="",[@[Type verlof]]=""),0,IFERROR(INDEX(FILTER(tblAanvulling[Totaalbedrag],(tblAanvulling[Mdw.]=[@[Mdw.]])*(tblAanvulling[Bkjr.]=[@Opbouwjaar]),0),1),0))</f>
        <v/>
      </c>
      <c r="S182">
        <f>IF([@Aanvullingsrechtig]="Ja",[@Beginsaldo]*[@Aanvulling_pu],0)</f>
        <v/>
      </c>
      <c r="T182">
        <f>IF(AND([@Opbouwjaar]&lt;&gt;"",[@Beginsaldo]&lt;&gt;0,OR([@Aanvullingsrechtig]="Ja",[@Aanvullingsrechtig]="Nee")),1,0)</f>
        <v/>
      </c>
    </row>
    <row r="183">
      <c r="O183">
        <f>LET(t,[@[Type verlof]],s,SEQUENCE(MAX(1,LEN(t)-3)),k,IFERROR(--MID(t,s,4),0),g,FILTER(k,(k&gt;=2000)*(k&lt;=2100),""),IFERROR(INDEX(g,1),""))</f>
        <v/>
      </c>
      <c r="P183">
        <f>LET(t,[@[Type verlof]],jj,[@Opbouwjaar],s,IF(jj="",t,SUBSTITUTE(t," "&amp;jj,"")),TRIM(s))</f>
        <v/>
      </c>
      <c r="Q183">
        <f>IF([@[Type verlof]]="","",IFERROR(XLOOKUP([@Basis_type],tblInstellingen[Basis verloftype],tblInstellingen[Aanvullingsrechtig]),"ONBEKEND"))</f>
        <v/>
      </c>
      <c r="R183">
        <f>IF(OR([@Opbouwjaar]="",[@[Type verlof]]=""),0,IFERROR(INDEX(FILTER(tblAanvulling[Totaalbedrag],(tblAanvulling[Mdw.]=[@[Mdw.]])*(tblAanvulling[Bkjr.]=[@Opbouwjaar]),0),1),0))</f>
        <v/>
      </c>
      <c r="S183">
        <f>IF([@Aanvullingsrechtig]="Ja",[@Beginsaldo]*[@Aanvulling_pu],0)</f>
        <v/>
      </c>
      <c r="T183">
        <f>IF(AND([@Opbouwjaar]&lt;&gt;"",[@Beginsaldo]&lt;&gt;0,OR([@Aanvullingsrechtig]="Ja",[@Aanvullingsrechtig]="Nee")),1,0)</f>
        <v/>
      </c>
    </row>
    <row r="184">
      <c r="O184">
        <f>LET(t,[@[Type verlof]],s,SEQUENCE(MAX(1,LEN(t)-3)),k,IFERROR(--MID(t,s,4),0),g,FILTER(k,(k&gt;=2000)*(k&lt;=2100),""),IFERROR(INDEX(g,1),""))</f>
        <v/>
      </c>
      <c r="P184">
        <f>LET(t,[@[Type verlof]],jj,[@Opbouwjaar],s,IF(jj="",t,SUBSTITUTE(t," "&amp;jj,"")),TRIM(s))</f>
        <v/>
      </c>
      <c r="Q184">
        <f>IF([@[Type verlof]]="","",IFERROR(XLOOKUP([@Basis_type],tblInstellingen[Basis verloftype],tblInstellingen[Aanvullingsrechtig]),"ONBEKEND"))</f>
        <v/>
      </c>
      <c r="R184">
        <f>IF(OR([@Opbouwjaar]="",[@[Type verlof]]=""),0,IFERROR(INDEX(FILTER(tblAanvulling[Totaalbedrag],(tblAanvulling[Mdw.]=[@[Mdw.]])*(tblAanvulling[Bkjr.]=[@Opbouwjaar]),0),1),0))</f>
        <v/>
      </c>
      <c r="S184">
        <f>IF([@Aanvullingsrechtig]="Ja",[@Beginsaldo]*[@Aanvulling_pu],0)</f>
        <v/>
      </c>
      <c r="T184">
        <f>IF(AND([@Opbouwjaar]&lt;&gt;"",[@Beginsaldo]&lt;&gt;0,OR([@Aanvullingsrechtig]="Ja",[@Aanvullingsrechtig]="Nee")),1,0)</f>
        <v/>
      </c>
    </row>
    <row r="185">
      <c r="O185">
        <f>LET(t,[@[Type verlof]],s,SEQUENCE(MAX(1,LEN(t)-3)),k,IFERROR(--MID(t,s,4),0),g,FILTER(k,(k&gt;=2000)*(k&lt;=2100),""),IFERROR(INDEX(g,1),""))</f>
        <v/>
      </c>
      <c r="P185">
        <f>LET(t,[@[Type verlof]],jj,[@Opbouwjaar],s,IF(jj="",t,SUBSTITUTE(t," "&amp;jj,"")),TRIM(s))</f>
        <v/>
      </c>
      <c r="Q185">
        <f>IF([@[Type verlof]]="","",IFERROR(XLOOKUP([@Basis_type],tblInstellingen[Basis verloftype],tblInstellingen[Aanvullingsrechtig]),"ONBEKEND"))</f>
        <v/>
      </c>
      <c r="R185">
        <f>IF(OR([@Opbouwjaar]="",[@[Type verlof]]=""),0,IFERROR(INDEX(FILTER(tblAanvulling[Totaalbedrag],(tblAanvulling[Mdw.]=[@[Mdw.]])*(tblAanvulling[Bkjr.]=[@Opbouwjaar]),0),1),0))</f>
        <v/>
      </c>
      <c r="S185">
        <f>IF([@Aanvullingsrechtig]="Ja",[@Beginsaldo]*[@Aanvulling_pu],0)</f>
        <v/>
      </c>
      <c r="T185">
        <f>IF(AND([@Opbouwjaar]&lt;&gt;"",[@Beginsaldo]&lt;&gt;0,OR([@Aanvullingsrechtig]="Ja",[@Aanvullingsrechtig]="Nee")),1,0)</f>
        <v/>
      </c>
    </row>
    <row r="186">
      <c r="O186">
        <f>LET(t,[@[Type verlof]],s,SEQUENCE(MAX(1,LEN(t)-3)),k,IFERROR(--MID(t,s,4),0),g,FILTER(k,(k&gt;=2000)*(k&lt;=2100),""),IFERROR(INDEX(g,1),""))</f>
        <v/>
      </c>
      <c r="P186">
        <f>LET(t,[@[Type verlof]],jj,[@Opbouwjaar],s,IF(jj="",t,SUBSTITUTE(t," "&amp;jj,"")),TRIM(s))</f>
        <v/>
      </c>
      <c r="Q186">
        <f>IF([@[Type verlof]]="","",IFERROR(XLOOKUP([@Basis_type],tblInstellingen[Basis verloftype],tblInstellingen[Aanvullingsrechtig]),"ONBEKEND"))</f>
        <v/>
      </c>
      <c r="R186">
        <f>IF(OR([@Opbouwjaar]="",[@[Type verlof]]=""),0,IFERROR(INDEX(FILTER(tblAanvulling[Totaalbedrag],(tblAanvulling[Mdw.]=[@[Mdw.]])*(tblAanvulling[Bkjr.]=[@Opbouwjaar]),0),1),0))</f>
        <v/>
      </c>
      <c r="S186">
        <f>IF([@Aanvullingsrechtig]="Ja",[@Beginsaldo]*[@Aanvulling_pu],0)</f>
        <v/>
      </c>
      <c r="T186">
        <f>IF(AND([@Opbouwjaar]&lt;&gt;"",[@Beginsaldo]&lt;&gt;0,OR([@Aanvullingsrechtig]="Ja",[@Aanvullingsrechtig]="Nee")),1,0)</f>
        <v/>
      </c>
    </row>
    <row r="187">
      <c r="O187">
        <f>LET(t,[@[Type verlof]],s,SEQUENCE(MAX(1,LEN(t)-3)),k,IFERROR(--MID(t,s,4),0),g,FILTER(k,(k&gt;=2000)*(k&lt;=2100),""),IFERROR(INDEX(g,1),""))</f>
        <v/>
      </c>
      <c r="P187">
        <f>LET(t,[@[Type verlof]],jj,[@Opbouwjaar],s,IF(jj="",t,SUBSTITUTE(t," "&amp;jj,"")),TRIM(s))</f>
        <v/>
      </c>
      <c r="Q187">
        <f>IF([@[Type verlof]]="","",IFERROR(XLOOKUP([@Basis_type],tblInstellingen[Basis verloftype],tblInstellingen[Aanvullingsrechtig]),"ONBEKEND"))</f>
        <v/>
      </c>
      <c r="R187">
        <f>IF(OR([@Opbouwjaar]="",[@[Type verlof]]=""),0,IFERROR(INDEX(FILTER(tblAanvulling[Totaalbedrag],(tblAanvulling[Mdw.]=[@[Mdw.]])*(tblAanvulling[Bkjr.]=[@Opbouwjaar]),0),1),0))</f>
        <v/>
      </c>
      <c r="S187">
        <f>IF([@Aanvullingsrechtig]="Ja",[@Beginsaldo]*[@Aanvulling_pu],0)</f>
        <v/>
      </c>
      <c r="T187">
        <f>IF(AND([@Opbouwjaar]&lt;&gt;"",[@Beginsaldo]&lt;&gt;0,OR([@Aanvullingsrechtig]="Ja",[@Aanvullingsrechtig]="Nee")),1,0)</f>
        <v/>
      </c>
    </row>
    <row r="188">
      <c r="O188">
        <f>LET(t,[@[Type verlof]],s,SEQUENCE(MAX(1,LEN(t)-3)),k,IFERROR(--MID(t,s,4),0),g,FILTER(k,(k&gt;=2000)*(k&lt;=2100),""),IFERROR(INDEX(g,1),""))</f>
        <v/>
      </c>
      <c r="P188">
        <f>LET(t,[@[Type verlof]],jj,[@Opbouwjaar],s,IF(jj="",t,SUBSTITUTE(t," "&amp;jj,"")),TRIM(s))</f>
        <v/>
      </c>
      <c r="Q188">
        <f>IF([@[Type verlof]]="","",IFERROR(XLOOKUP([@Basis_type],tblInstellingen[Basis verloftype],tblInstellingen[Aanvullingsrechtig]),"ONBEKEND"))</f>
        <v/>
      </c>
      <c r="R188">
        <f>IF(OR([@Opbouwjaar]="",[@[Type verlof]]=""),0,IFERROR(INDEX(FILTER(tblAanvulling[Totaalbedrag],(tblAanvulling[Mdw.]=[@[Mdw.]])*(tblAanvulling[Bkjr.]=[@Opbouwjaar]),0),1),0))</f>
        <v/>
      </c>
      <c r="S188">
        <f>IF([@Aanvullingsrechtig]="Ja",[@Beginsaldo]*[@Aanvulling_pu],0)</f>
        <v/>
      </c>
      <c r="T188">
        <f>IF(AND([@Opbouwjaar]&lt;&gt;"",[@Beginsaldo]&lt;&gt;0,OR([@Aanvullingsrechtig]="Ja",[@Aanvullingsrechtig]="Nee")),1,0)</f>
        <v/>
      </c>
    </row>
    <row r="189">
      <c r="O189">
        <f>LET(t,[@[Type verlof]],s,SEQUENCE(MAX(1,LEN(t)-3)),k,IFERROR(--MID(t,s,4),0),g,FILTER(k,(k&gt;=2000)*(k&lt;=2100),""),IFERROR(INDEX(g,1),""))</f>
        <v/>
      </c>
      <c r="P189">
        <f>LET(t,[@[Type verlof]],jj,[@Opbouwjaar],s,IF(jj="",t,SUBSTITUTE(t," "&amp;jj,"")),TRIM(s))</f>
        <v/>
      </c>
      <c r="Q189">
        <f>IF([@[Type verlof]]="","",IFERROR(XLOOKUP([@Basis_type],tblInstellingen[Basis verloftype],tblInstellingen[Aanvullingsrechtig]),"ONBEKEND"))</f>
        <v/>
      </c>
      <c r="R189">
        <f>IF(OR([@Opbouwjaar]="",[@[Type verlof]]=""),0,IFERROR(INDEX(FILTER(tblAanvulling[Totaalbedrag],(tblAanvulling[Mdw.]=[@[Mdw.]])*(tblAanvulling[Bkjr.]=[@Opbouwjaar]),0),1),0))</f>
        <v/>
      </c>
      <c r="S189">
        <f>IF([@Aanvullingsrechtig]="Ja",[@Beginsaldo]*[@Aanvulling_pu],0)</f>
        <v/>
      </c>
      <c r="T189">
        <f>IF(AND([@Opbouwjaar]&lt;&gt;"",[@Beginsaldo]&lt;&gt;0,OR([@Aanvullingsrechtig]="Ja",[@Aanvullingsrechtig]="Nee")),1,0)</f>
        <v/>
      </c>
    </row>
    <row r="190">
      <c r="O190">
        <f>LET(t,[@[Type verlof]],s,SEQUENCE(MAX(1,LEN(t)-3)),k,IFERROR(--MID(t,s,4),0),g,FILTER(k,(k&gt;=2000)*(k&lt;=2100),""),IFERROR(INDEX(g,1),""))</f>
        <v/>
      </c>
      <c r="P190">
        <f>LET(t,[@[Type verlof]],jj,[@Opbouwjaar],s,IF(jj="",t,SUBSTITUTE(t," "&amp;jj,"")),TRIM(s))</f>
        <v/>
      </c>
      <c r="Q190">
        <f>IF([@[Type verlof]]="","",IFERROR(XLOOKUP([@Basis_type],tblInstellingen[Basis verloftype],tblInstellingen[Aanvullingsrechtig]),"ONBEKEND"))</f>
        <v/>
      </c>
      <c r="R190">
        <f>IF(OR([@Opbouwjaar]="",[@[Type verlof]]=""),0,IFERROR(INDEX(FILTER(tblAanvulling[Totaalbedrag],(tblAanvulling[Mdw.]=[@[Mdw.]])*(tblAanvulling[Bkjr.]=[@Opbouwjaar]),0),1),0))</f>
        <v/>
      </c>
      <c r="S190">
        <f>IF([@Aanvullingsrechtig]="Ja",[@Beginsaldo]*[@Aanvulling_pu],0)</f>
        <v/>
      </c>
      <c r="T190">
        <f>IF(AND([@Opbouwjaar]&lt;&gt;"",[@Beginsaldo]&lt;&gt;0,OR([@Aanvullingsrechtig]="Ja",[@Aanvullingsrechtig]="Nee")),1,0)</f>
        <v/>
      </c>
    </row>
    <row r="191">
      <c r="O191">
        <f>LET(t,[@[Type verlof]],s,SEQUENCE(MAX(1,LEN(t)-3)),k,IFERROR(--MID(t,s,4),0),g,FILTER(k,(k&gt;=2000)*(k&lt;=2100),""),IFERROR(INDEX(g,1),""))</f>
        <v/>
      </c>
      <c r="P191">
        <f>LET(t,[@[Type verlof]],jj,[@Opbouwjaar],s,IF(jj="",t,SUBSTITUTE(t," "&amp;jj,"")),TRIM(s))</f>
        <v/>
      </c>
      <c r="Q191">
        <f>IF([@[Type verlof]]="","",IFERROR(XLOOKUP([@Basis_type],tblInstellingen[Basis verloftype],tblInstellingen[Aanvullingsrechtig]),"ONBEKEND"))</f>
        <v/>
      </c>
      <c r="R191">
        <f>IF(OR([@Opbouwjaar]="",[@[Type verlof]]=""),0,IFERROR(INDEX(FILTER(tblAanvulling[Totaalbedrag],(tblAanvulling[Mdw.]=[@[Mdw.]])*(tblAanvulling[Bkjr.]=[@Opbouwjaar]),0),1),0))</f>
        <v/>
      </c>
      <c r="S191">
        <f>IF([@Aanvullingsrechtig]="Ja",[@Beginsaldo]*[@Aanvulling_pu],0)</f>
        <v/>
      </c>
      <c r="T191">
        <f>IF(AND([@Opbouwjaar]&lt;&gt;"",[@Beginsaldo]&lt;&gt;0,OR([@Aanvullingsrechtig]="Ja",[@Aanvullingsrechtig]="Nee")),1,0)</f>
        <v/>
      </c>
    </row>
    <row r="192">
      <c r="O192">
        <f>LET(t,[@[Type verlof]],s,SEQUENCE(MAX(1,LEN(t)-3)),k,IFERROR(--MID(t,s,4),0),g,FILTER(k,(k&gt;=2000)*(k&lt;=2100),""),IFERROR(INDEX(g,1),""))</f>
        <v/>
      </c>
      <c r="P192">
        <f>LET(t,[@[Type verlof]],jj,[@Opbouwjaar],s,IF(jj="",t,SUBSTITUTE(t," "&amp;jj,"")),TRIM(s))</f>
        <v/>
      </c>
      <c r="Q192">
        <f>IF([@[Type verlof]]="","",IFERROR(XLOOKUP([@Basis_type],tblInstellingen[Basis verloftype],tblInstellingen[Aanvullingsrechtig]),"ONBEKEND"))</f>
        <v/>
      </c>
      <c r="R192">
        <f>IF(OR([@Opbouwjaar]="",[@[Type verlof]]=""),0,IFERROR(INDEX(FILTER(tblAanvulling[Totaalbedrag],(tblAanvulling[Mdw.]=[@[Mdw.]])*(tblAanvulling[Bkjr.]=[@Opbouwjaar]),0),1),0))</f>
        <v/>
      </c>
      <c r="S192">
        <f>IF([@Aanvullingsrechtig]="Ja",[@Beginsaldo]*[@Aanvulling_pu],0)</f>
        <v/>
      </c>
      <c r="T192">
        <f>IF(AND([@Opbouwjaar]&lt;&gt;"",[@Beginsaldo]&lt;&gt;0,OR([@Aanvullingsrechtig]="Ja",[@Aanvullingsrechtig]="Nee")),1,0)</f>
        <v/>
      </c>
    </row>
    <row r="193">
      <c r="O193">
        <f>LET(t,[@[Type verlof]],s,SEQUENCE(MAX(1,LEN(t)-3)),k,IFERROR(--MID(t,s,4),0),g,FILTER(k,(k&gt;=2000)*(k&lt;=2100),""),IFERROR(INDEX(g,1),""))</f>
        <v/>
      </c>
      <c r="P193">
        <f>LET(t,[@[Type verlof]],jj,[@Opbouwjaar],s,IF(jj="",t,SUBSTITUTE(t," "&amp;jj,"")),TRIM(s))</f>
        <v/>
      </c>
      <c r="Q193">
        <f>IF([@[Type verlof]]="","",IFERROR(XLOOKUP([@Basis_type],tblInstellingen[Basis verloftype],tblInstellingen[Aanvullingsrechtig]),"ONBEKEND"))</f>
        <v/>
      </c>
      <c r="R193">
        <f>IF(OR([@Opbouwjaar]="",[@[Type verlof]]=""),0,IFERROR(INDEX(FILTER(tblAanvulling[Totaalbedrag],(tblAanvulling[Mdw.]=[@[Mdw.]])*(tblAanvulling[Bkjr.]=[@Opbouwjaar]),0),1),0))</f>
        <v/>
      </c>
      <c r="S193">
        <f>IF([@Aanvullingsrechtig]="Ja",[@Beginsaldo]*[@Aanvulling_pu],0)</f>
        <v/>
      </c>
      <c r="T193">
        <f>IF(AND([@Opbouwjaar]&lt;&gt;"",[@Beginsaldo]&lt;&gt;0,OR([@Aanvullingsrechtig]="Ja",[@Aanvullingsrechtig]="Nee")),1,0)</f>
        <v/>
      </c>
    </row>
    <row r="194">
      <c r="O194">
        <f>LET(t,[@[Type verlof]],s,SEQUENCE(MAX(1,LEN(t)-3)),k,IFERROR(--MID(t,s,4),0),g,FILTER(k,(k&gt;=2000)*(k&lt;=2100),""),IFERROR(INDEX(g,1),""))</f>
        <v/>
      </c>
      <c r="P194">
        <f>LET(t,[@[Type verlof]],jj,[@Opbouwjaar],s,IF(jj="",t,SUBSTITUTE(t," "&amp;jj,"")),TRIM(s))</f>
        <v/>
      </c>
      <c r="Q194">
        <f>IF([@[Type verlof]]="","",IFERROR(XLOOKUP([@Basis_type],tblInstellingen[Basis verloftype],tblInstellingen[Aanvullingsrechtig]),"ONBEKEND"))</f>
        <v/>
      </c>
      <c r="R194">
        <f>IF(OR([@Opbouwjaar]="",[@[Type verlof]]=""),0,IFERROR(INDEX(FILTER(tblAanvulling[Totaalbedrag],(tblAanvulling[Mdw.]=[@[Mdw.]])*(tblAanvulling[Bkjr.]=[@Opbouwjaar]),0),1),0))</f>
        <v/>
      </c>
      <c r="S194">
        <f>IF([@Aanvullingsrechtig]="Ja",[@Beginsaldo]*[@Aanvulling_pu],0)</f>
        <v/>
      </c>
      <c r="T194">
        <f>IF(AND([@Opbouwjaar]&lt;&gt;"",[@Beginsaldo]&lt;&gt;0,OR([@Aanvullingsrechtig]="Ja",[@Aanvullingsrechtig]="Nee")),1,0)</f>
        <v/>
      </c>
    </row>
    <row r="195">
      <c r="O195">
        <f>LET(t,[@[Type verlof]],s,SEQUENCE(MAX(1,LEN(t)-3)),k,IFERROR(--MID(t,s,4),0),g,FILTER(k,(k&gt;=2000)*(k&lt;=2100),""),IFERROR(INDEX(g,1),""))</f>
        <v/>
      </c>
      <c r="P195">
        <f>LET(t,[@[Type verlof]],jj,[@Opbouwjaar],s,IF(jj="",t,SUBSTITUTE(t," "&amp;jj,"")),TRIM(s))</f>
        <v/>
      </c>
      <c r="Q195">
        <f>IF([@[Type verlof]]="","",IFERROR(XLOOKUP([@Basis_type],tblInstellingen[Basis verloftype],tblInstellingen[Aanvullingsrechtig]),"ONBEKEND"))</f>
        <v/>
      </c>
      <c r="R195">
        <f>IF(OR([@Opbouwjaar]="",[@[Type verlof]]=""),0,IFERROR(INDEX(FILTER(tblAanvulling[Totaalbedrag],(tblAanvulling[Mdw.]=[@[Mdw.]])*(tblAanvulling[Bkjr.]=[@Opbouwjaar]),0),1),0))</f>
        <v/>
      </c>
      <c r="S195">
        <f>IF([@Aanvullingsrechtig]="Ja",[@Beginsaldo]*[@Aanvulling_pu],0)</f>
        <v/>
      </c>
      <c r="T195">
        <f>IF(AND([@Opbouwjaar]&lt;&gt;"",[@Beginsaldo]&lt;&gt;0,OR([@Aanvullingsrechtig]="Ja",[@Aanvullingsrechtig]="Nee")),1,0)</f>
        <v/>
      </c>
    </row>
    <row r="196">
      <c r="O196">
        <f>LET(t,[@[Type verlof]],s,SEQUENCE(MAX(1,LEN(t)-3)),k,IFERROR(--MID(t,s,4),0),g,FILTER(k,(k&gt;=2000)*(k&lt;=2100),""),IFERROR(INDEX(g,1),""))</f>
        <v/>
      </c>
      <c r="P196">
        <f>LET(t,[@[Type verlof]],jj,[@Opbouwjaar],s,IF(jj="",t,SUBSTITUTE(t," "&amp;jj,"")),TRIM(s))</f>
        <v/>
      </c>
      <c r="Q196">
        <f>IF([@[Type verlof]]="","",IFERROR(XLOOKUP([@Basis_type],tblInstellingen[Basis verloftype],tblInstellingen[Aanvullingsrechtig]),"ONBEKEND"))</f>
        <v/>
      </c>
      <c r="R196">
        <f>IF(OR([@Opbouwjaar]="",[@[Type verlof]]=""),0,IFERROR(INDEX(FILTER(tblAanvulling[Totaalbedrag],(tblAanvulling[Mdw.]=[@[Mdw.]])*(tblAanvulling[Bkjr.]=[@Opbouwjaar]),0),1),0))</f>
        <v/>
      </c>
      <c r="S196">
        <f>IF([@Aanvullingsrechtig]="Ja",[@Beginsaldo]*[@Aanvulling_pu],0)</f>
        <v/>
      </c>
      <c r="T196">
        <f>IF(AND([@Opbouwjaar]&lt;&gt;"",[@Beginsaldo]&lt;&gt;0,OR([@Aanvullingsrechtig]="Ja",[@Aanvullingsrechtig]="Nee")),1,0)</f>
        <v/>
      </c>
    </row>
    <row r="197">
      <c r="O197">
        <f>LET(t,[@[Type verlof]],s,SEQUENCE(MAX(1,LEN(t)-3)),k,IFERROR(--MID(t,s,4),0),g,FILTER(k,(k&gt;=2000)*(k&lt;=2100),""),IFERROR(INDEX(g,1),""))</f>
        <v/>
      </c>
      <c r="P197">
        <f>LET(t,[@[Type verlof]],jj,[@Opbouwjaar],s,IF(jj="",t,SUBSTITUTE(t," "&amp;jj,"")),TRIM(s))</f>
        <v/>
      </c>
      <c r="Q197">
        <f>IF([@[Type verlof]]="","",IFERROR(XLOOKUP([@Basis_type],tblInstellingen[Basis verloftype],tblInstellingen[Aanvullingsrechtig]),"ONBEKEND"))</f>
        <v/>
      </c>
      <c r="R197">
        <f>IF(OR([@Opbouwjaar]="",[@[Type verlof]]=""),0,IFERROR(INDEX(FILTER(tblAanvulling[Totaalbedrag],(tblAanvulling[Mdw.]=[@[Mdw.]])*(tblAanvulling[Bkjr.]=[@Opbouwjaar]),0),1),0))</f>
        <v/>
      </c>
      <c r="S197">
        <f>IF([@Aanvullingsrechtig]="Ja",[@Beginsaldo]*[@Aanvulling_pu],0)</f>
        <v/>
      </c>
      <c r="T197">
        <f>IF(AND([@Opbouwjaar]&lt;&gt;"",[@Beginsaldo]&lt;&gt;0,OR([@Aanvullingsrechtig]="Ja",[@Aanvullingsrechtig]="Nee")),1,0)</f>
        <v/>
      </c>
    </row>
    <row r="198">
      <c r="O198">
        <f>LET(t,[@[Type verlof]],s,SEQUENCE(MAX(1,LEN(t)-3)),k,IFERROR(--MID(t,s,4),0),g,FILTER(k,(k&gt;=2000)*(k&lt;=2100),""),IFERROR(INDEX(g,1),""))</f>
        <v/>
      </c>
      <c r="P198">
        <f>LET(t,[@[Type verlof]],jj,[@Opbouwjaar],s,IF(jj="",t,SUBSTITUTE(t," "&amp;jj,"")),TRIM(s))</f>
        <v/>
      </c>
      <c r="Q198">
        <f>IF([@[Type verlof]]="","",IFERROR(XLOOKUP([@Basis_type],tblInstellingen[Basis verloftype],tblInstellingen[Aanvullingsrechtig]),"ONBEKEND"))</f>
        <v/>
      </c>
      <c r="R198">
        <f>IF(OR([@Opbouwjaar]="",[@[Type verlof]]=""),0,IFERROR(INDEX(FILTER(tblAanvulling[Totaalbedrag],(tblAanvulling[Mdw.]=[@[Mdw.]])*(tblAanvulling[Bkjr.]=[@Opbouwjaar]),0),1),0))</f>
        <v/>
      </c>
      <c r="S198">
        <f>IF([@Aanvullingsrechtig]="Ja",[@Beginsaldo]*[@Aanvulling_pu],0)</f>
        <v/>
      </c>
      <c r="T198">
        <f>IF(AND([@Opbouwjaar]&lt;&gt;"",[@Beginsaldo]&lt;&gt;0,OR([@Aanvullingsrechtig]="Ja",[@Aanvullingsrechtig]="Nee")),1,0)</f>
        <v/>
      </c>
    </row>
    <row r="199">
      <c r="O199">
        <f>LET(t,[@[Type verlof]],s,SEQUENCE(MAX(1,LEN(t)-3)),k,IFERROR(--MID(t,s,4),0),g,FILTER(k,(k&gt;=2000)*(k&lt;=2100),""),IFERROR(INDEX(g,1),""))</f>
        <v/>
      </c>
      <c r="P199">
        <f>LET(t,[@[Type verlof]],jj,[@Opbouwjaar],s,IF(jj="",t,SUBSTITUTE(t," "&amp;jj,"")),TRIM(s))</f>
        <v/>
      </c>
      <c r="Q199">
        <f>IF([@[Type verlof]]="","",IFERROR(XLOOKUP([@Basis_type],tblInstellingen[Basis verloftype],tblInstellingen[Aanvullingsrechtig]),"ONBEKEND"))</f>
        <v/>
      </c>
      <c r="R199">
        <f>IF(OR([@Opbouwjaar]="",[@[Type verlof]]=""),0,IFERROR(INDEX(FILTER(tblAanvulling[Totaalbedrag],(tblAanvulling[Mdw.]=[@[Mdw.]])*(tblAanvulling[Bkjr.]=[@Opbouwjaar]),0),1),0))</f>
        <v/>
      </c>
      <c r="S199">
        <f>IF([@Aanvullingsrechtig]="Ja",[@Beginsaldo]*[@Aanvulling_pu],0)</f>
        <v/>
      </c>
      <c r="T199">
        <f>IF(AND([@Opbouwjaar]&lt;&gt;"",[@Beginsaldo]&lt;&gt;0,OR([@Aanvullingsrechtig]="Ja",[@Aanvullingsrechtig]="Nee")),1,0)</f>
        <v/>
      </c>
    </row>
    <row r="200">
      <c r="O200">
        <f>LET(t,[@[Type verlof]],s,SEQUENCE(MAX(1,LEN(t)-3)),k,IFERROR(--MID(t,s,4),0),g,FILTER(k,(k&gt;=2000)*(k&lt;=2100),""),IFERROR(INDEX(g,1),""))</f>
        <v/>
      </c>
      <c r="P200">
        <f>LET(t,[@[Type verlof]],jj,[@Opbouwjaar],s,IF(jj="",t,SUBSTITUTE(t," "&amp;jj,"")),TRIM(s))</f>
        <v/>
      </c>
      <c r="Q200">
        <f>IF([@[Type verlof]]="","",IFERROR(XLOOKUP([@Basis_type],tblInstellingen[Basis verloftype],tblInstellingen[Aanvullingsrechtig]),"ONBEKEND"))</f>
        <v/>
      </c>
      <c r="R200">
        <f>IF(OR([@Opbouwjaar]="",[@[Type verlof]]=""),0,IFERROR(INDEX(FILTER(tblAanvulling[Totaalbedrag],(tblAanvulling[Mdw.]=[@[Mdw.]])*(tblAanvulling[Bkjr.]=[@Opbouwjaar]),0),1),0))</f>
        <v/>
      </c>
      <c r="S200">
        <f>IF([@Aanvullingsrechtig]="Ja",[@Beginsaldo]*[@Aanvulling_pu],0)</f>
        <v/>
      </c>
      <c r="T200">
        <f>IF(AND([@Opbouwjaar]&lt;&gt;"",[@Beginsaldo]&lt;&gt;0,OR([@Aanvullingsrechtig]="Ja",[@Aanvullingsrechtig]="Nee")),1,0)</f>
        <v/>
      </c>
    </row>
    <row r="201">
      <c r="O201">
        <f>LET(t,[@[Type verlof]],s,SEQUENCE(MAX(1,LEN(t)-3)),k,IFERROR(--MID(t,s,4),0),g,FILTER(k,(k&gt;=2000)*(k&lt;=2100),""),IFERROR(INDEX(g,1),""))</f>
        <v/>
      </c>
      <c r="P201">
        <f>LET(t,[@[Type verlof]],jj,[@Opbouwjaar],s,IF(jj="",t,SUBSTITUTE(t," "&amp;jj,"")),TRIM(s))</f>
        <v/>
      </c>
      <c r="Q201">
        <f>IF([@[Type verlof]]="","",IFERROR(XLOOKUP([@Basis_type],tblInstellingen[Basis verloftype],tblInstellingen[Aanvullingsrechtig]),"ONBEKEND"))</f>
        <v/>
      </c>
      <c r="R201">
        <f>IF(OR([@Opbouwjaar]="",[@[Type verlof]]=""),0,IFERROR(INDEX(FILTER(tblAanvulling[Totaalbedrag],(tblAanvulling[Mdw.]=[@[Mdw.]])*(tblAanvulling[Bkjr.]=[@Opbouwjaar]),0),1),0))</f>
        <v/>
      </c>
      <c r="S201">
        <f>IF([@Aanvullingsrechtig]="Ja",[@Beginsaldo]*[@Aanvulling_pu],0)</f>
        <v/>
      </c>
      <c r="T201">
        <f>IF(AND([@Opbouwjaar]&lt;&gt;"",[@Beginsaldo]&lt;&gt;0,OR([@Aanvullingsrechtig]="Ja",[@Aanvullingsrechtig]="Nee")),1,0)</f>
        <v/>
      </c>
    </row>
    <row r="202">
      <c r="O202">
        <f>LET(t,[@[Type verlof]],s,SEQUENCE(MAX(1,LEN(t)-3)),k,IFERROR(--MID(t,s,4),0),g,FILTER(k,(k&gt;=2000)*(k&lt;=2100),""),IFERROR(INDEX(g,1),""))</f>
        <v/>
      </c>
      <c r="P202">
        <f>LET(t,[@[Type verlof]],jj,[@Opbouwjaar],s,IF(jj="",t,SUBSTITUTE(t," "&amp;jj,"")),TRIM(s))</f>
        <v/>
      </c>
      <c r="Q202">
        <f>IF([@[Type verlof]]="","",IFERROR(XLOOKUP([@Basis_type],tblInstellingen[Basis verloftype],tblInstellingen[Aanvullingsrechtig]),"ONBEKEND"))</f>
        <v/>
      </c>
      <c r="R202">
        <f>IF(OR([@Opbouwjaar]="",[@[Type verlof]]=""),0,IFERROR(INDEX(FILTER(tblAanvulling[Totaalbedrag],(tblAanvulling[Mdw.]=[@[Mdw.]])*(tblAanvulling[Bkjr.]=[@Opbouwjaar]),0),1),0))</f>
        <v/>
      </c>
      <c r="S202">
        <f>IF([@Aanvullingsrechtig]="Ja",[@Beginsaldo]*[@Aanvulling_pu],0)</f>
        <v/>
      </c>
      <c r="T202">
        <f>IF(AND([@Opbouwjaar]&lt;&gt;"",[@Beginsaldo]&lt;&gt;0,OR([@Aanvullingsrechtig]="Ja",[@Aanvullingsrechtig]="Nee")),1,0)</f>
        <v/>
      </c>
    </row>
    <row r="203">
      <c r="O203">
        <f>LET(t,[@[Type verlof]],s,SEQUENCE(MAX(1,LEN(t)-3)),k,IFERROR(--MID(t,s,4),0),g,FILTER(k,(k&gt;=2000)*(k&lt;=2100),""),IFERROR(INDEX(g,1),""))</f>
        <v/>
      </c>
      <c r="P203">
        <f>LET(t,[@[Type verlof]],jj,[@Opbouwjaar],s,IF(jj="",t,SUBSTITUTE(t," "&amp;jj,"")),TRIM(s))</f>
        <v/>
      </c>
      <c r="Q203">
        <f>IF([@[Type verlof]]="","",IFERROR(XLOOKUP([@Basis_type],tblInstellingen[Basis verloftype],tblInstellingen[Aanvullingsrechtig]),"ONBEKEND"))</f>
        <v/>
      </c>
      <c r="R203">
        <f>IF(OR([@Opbouwjaar]="",[@[Type verlof]]=""),0,IFERROR(INDEX(FILTER(tblAanvulling[Totaalbedrag],(tblAanvulling[Mdw.]=[@[Mdw.]])*(tblAanvulling[Bkjr.]=[@Opbouwjaar]),0),1),0))</f>
        <v/>
      </c>
      <c r="S203">
        <f>IF([@Aanvullingsrechtig]="Ja",[@Beginsaldo]*[@Aanvulling_pu],0)</f>
        <v/>
      </c>
      <c r="T203">
        <f>IF(AND([@Opbouwjaar]&lt;&gt;"",[@Beginsaldo]&lt;&gt;0,OR([@Aanvullingsrechtig]="Ja",[@Aanvullingsrechtig]="Nee")),1,0)</f>
        <v/>
      </c>
    </row>
    <row r="204">
      <c r="O204">
        <f>LET(t,[@[Type verlof]],s,SEQUENCE(MAX(1,LEN(t)-3)),k,IFERROR(--MID(t,s,4),0),g,FILTER(k,(k&gt;=2000)*(k&lt;=2100),""),IFERROR(INDEX(g,1),""))</f>
        <v/>
      </c>
      <c r="P204">
        <f>LET(t,[@[Type verlof]],jj,[@Opbouwjaar],s,IF(jj="",t,SUBSTITUTE(t," "&amp;jj,"")),TRIM(s))</f>
        <v/>
      </c>
      <c r="Q204">
        <f>IF([@[Type verlof]]="","",IFERROR(XLOOKUP([@Basis_type],tblInstellingen[Basis verloftype],tblInstellingen[Aanvullingsrechtig]),"ONBEKEND"))</f>
        <v/>
      </c>
      <c r="R204">
        <f>IF(OR([@Opbouwjaar]="",[@[Type verlof]]=""),0,IFERROR(INDEX(FILTER(tblAanvulling[Totaalbedrag],(tblAanvulling[Mdw.]=[@[Mdw.]])*(tblAanvulling[Bkjr.]=[@Opbouwjaar]),0),1),0))</f>
        <v/>
      </c>
      <c r="S204">
        <f>IF([@Aanvullingsrechtig]="Ja",[@Beginsaldo]*[@Aanvulling_pu],0)</f>
        <v/>
      </c>
      <c r="T204">
        <f>IF(AND([@Opbouwjaar]&lt;&gt;"",[@Beginsaldo]&lt;&gt;0,OR([@Aanvullingsrechtig]="Ja",[@Aanvullingsrechtig]="Nee")),1,0)</f>
        <v/>
      </c>
    </row>
    <row r="205">
      <c r="O205">
        <f>LET(t,[@[Type verlof]],s,SEQUENCE(MAX(1,LEN(t)-3)),k,IFERROR(--MID(t,s,4),0),g,FILTER(k,(k&gt;=2000)*(k&lt;=2100),""),IFERROR(INDEX(g,1),""))</f>
        <v/>
      </c>
      <c r="P205">
        <f>LET(t,[@[Type verlof]],jj,[@Opbouwjaar],s,IF(jj="",t,SUBSTITUTE(t," "&amp;jj,"")),TRIM(s))</f>
        <v/>
      </c>
      <c r="Q205">
        <f>IF([@[Type verlof]]="","",IFERROR(XLOOKUP([@Basis_type],tblInstellingen[Basis verloftype],tblInstellingen[Aanvullingsrechtig]),"ONBEKEND"))</f>
        <v/>
      </c>
      <c r="R205">
        <f>IF(OR([@Opbouwjaar]="",[@[Type verlof]]=""),0,IFERROR(INDEX(FILTER(tblAanvulling[Totaalbedrag],(tblAanvulling[Mdw.]=[@[Mdw.]])*(tblAanvulling[Bkjr.]=[@Opbouwjaar]),0),1),0))</f>
        <v/>
      </c>
      <c r="S205">
        <f>IF([@Aanvullingsrechtig]="Ja",[@Beginsaldo]*[@Aanvulling_pu],0)</f>
        <v/>
      </c>
      <c r="T205">
        <f>IF(AND([@Opbouwjaar]&lt;&gt;"",[@Beginsaldo]&lt;&gt;0,OR([@Aanvullingsrechtig]="Ja",[@Aanvullingsrechtig]="Nee")),1,0)</f>
        <v/>
      </c>
    </row>
    <row r="206">
      <c r="O206">
        <f>LET(t,[@[Type verlof]],s,SEQUENCE(MAX(1,LEN(t)-3)),k,IFERROR(--MID(t,s,4),0),g,FILTER(k,(k&gt;=2000)*(k&lt;=2100),""),IFERROR(INDEX(g,1),""))</f>
        <v/>
      </c>
      <c r="P206">
        <f>LET(t,[@[Type verlof]],jj,[@Opbouwjaar],s,IF(jj="",t,SUBSTITUTE(t," "&amp;jj,"")),TRIM(s))</f>
        <v/>
      </c>
      <c r="Q206">
        <f>IF([@[Type verlof]]="","",IFERROR(XLOOKUP([@Basis_type],tblInstellingen[Basis verloftype],tblInstellingen[Aanvullingsrechtig]),"ONBEKEND"))</f>
        <v/>
      </c>
      <c r="R206">
        <f>IF(OR([@Opbouwjaar]="",[@[Type verlof]]=""),0,IFERROR(INDEX(FILTER(tblAanvulling[Totaalbedrag],(tblAanvulling[Mdw.]=[@[Mdw.]])*(tblAanvulling[Bkjr.]=[@Opbouwjaar]),0),1),0))</f>
        <v/>
      </c>
      <c r="S206">
        <f>IF([@Aanvullingsrechtig]="Ja",[@Beginsaldo]*[@Aanvulling_pu],0)</f>
        <v/>
      </c>
      <c r="T206">
        <f>IF(AND([@Opbouwjaar]&lt;&gt;"",[@Beginsaldo]&lt;&gt;0,OR([@Aanvullingsrechtig]="Ja",[@Aanvullingsrechtig]="Nee")),1,0)</f>
        <v/>
      </c>
    </row>
    <row r="207">
      <c r="O207">
        <f>LET(t,[@[Type verlof]],s,SEQUENCE(MAX(1,LEN(t)-3)),k,IFERROR(--MID(t,s,4),0),g,FILTER(k,(k&gt;=2000)*(k&lt;=2100),""),IFERROR(INDEX(g,1),""))</f>
        <v/>
      </c>
      <c r="P207">
        <f>LET(t,[@[Type verlof]],jj,[@Opbouwjaar],s,IF(jj="",t,SUBSTITUTE(t," "&amp;jj,"")),TRIM(s))</f>
        <v/>
      </c>
      <c r="Q207">
        <f>IF([@[Type verlof]]="","",IFERROR(XLOOKUP([@Basis_type],tblInstellingen[Basis verloftype],tblInstellingen[Aanvullingsrechtig]),"ONBEKEND"))</f>
        <v/>
      </c>
      <c r="R207">
        <f>IF(OR([@Opbouwjaar]="",[@[Type verlof]]=""),0,IFERROR(INDEX(FILTER(tblAanvulling[Totaalbedrag],(tblAanvulling[Mdw.]=[@[Mdw.]])*(tblAanvulling[Bkjr.]=[@Opbouwjaar]),0),1),0))</f>
        <v/>
      </c>
      <c r="S207">
        <f>IF([@Aanvullingsrechtig]="Ja",[@Beginsaldo]*[@Aanvulling_pu],0)</f>
        <v/>
      </c>
      <c r="T207">
        <f>IF(AND([@Opbouwjaar]&lt;&gt;"",[@Beginsaldo]&lt;&gt;0,OR([@Aanvullingsrechtig]="Ja",[@Aanvullingsrechtig]="Nee")),1,0)</f>
        <v/>
      </c>
    </row>
    <row r="208">
      <c r="O208">
        <f>LET(t,[@[Type verlof]],s,SEQUENCE(MAX(1,LEN(t)-3)),k,IFERROR(--MID(t,s,4),0),g,FILTER(k,(k&gt;=2000)*(k&lt;=2100),""),IFERROR(INDEX(g,1),""))</f>
        <v/>
      </c>
      <c r="P208">
        <f>LET(t,[@[Type verlof]],jj,[@Opbouwjaar],s,IF(jj="",t,SUBSTITUTE(t," "&amp;jj,"")),TRIM(s))</f>
        <v/>
      </c>
      <c r="Q208">
        <f>IF([@[Type verlof]]="","",IFERROR(XLOOKUP([@Basis_type],tblInstellingen[Basis verloftype],tblInstellingen[Aanvullingsrechtig]),"ONBEKEND"))</f>
        <v/>
      </c>
      <c r="R208">
        <f>IF(OR([@Opbouwjaar]="",[@[Type verlof]]=""),0,IFERROR(INDEX(FILTER(tblAanvulling[Totaalbedrag],(tblAanvulling[Mdw.]=[@[Mdw.]])*(tblAanvulling[Bkjr.]=[@Opbouwjaar]),0),1),0))</f>
        <v/>
      </c>
      <c r="S208">
        <f>IF([@Aanvullingsrechtig]="Ja",[@Beginsaldo]*[@Aanvulling_pu],0)</f>
        <v/>
      </c>
      <c r="T208">
        <f>IF(AND([@Opbouwjaar]&lt;&gt;"",[@Beginsaldo]&lt;&gt;0,OR([@Aanvullingsrechtig]="Ja",[@Aanvullingsrechtig]="Nee")),1,0)</f>
        <v/>
      </c>
    </row>
    <row r="209">
      <c r="O209">
        <f>LET(t,[@[Type verlof]],s,SEQUENCE(MAX(1,LEN(t)-3)),k,IFERROR(--MID(t,s,4),0),g,FILTER(k,(k&gt;=2000)*(k&lt;=2100),""),IFERROR(INDEX(g,1),""))</f>
        <v/>
      </c>
      <c r="P209">
        <f>LET(t,[@[Type verlof]],jj,[@Opbouwjaar],s,IF(jj="",t,SUBSTITUTE(t," "&amp;jj,"")),TRIM(s))</f>
        <v/>
      </c>
      <c r="Q209">
        <f>IF([@[Type verlof]]="","",IFERROR(XLOOKUP([@Basis_type],tblInstellingen[Basis verloftype],tblInstellingen[Aanvullingsrechtig]),"ONBEKEND"))</f>
        <v/>
      </c>
      <c r="R209">
        <f>IF(OR([@Opbouwjaar]="",[@[Type verlof]]=""),0,IFERROR(INDEX(FILTER(tblAanvulling[Totaalbedrag],(tblAanvulling[Mdw.]=[@[Mdw.]])*(tblAanvulling[Bkjr.]=[@Opbouwjaar]),0),1),0))</f>
        <v/>
      </c>
      <c r="S209">
        <f>IF([@Aanvullingsrechtig]="Ja",[@Beginsaldo]*[@Aanvulling_pu],0)</f>
        <v/>
      </c>
      <c r="T209">
        <f>IF(AND([@Opbouwjaar]&lt;&gt;"",[@Beginsaldo]&lt;&gt;0,OR([@Aanvullingsrechtig]="Ja",[@Aanvullingsrechtig]="Nee")),1,0)</f>
        <v/>
      </c>
    </row>
    <row r="210">
      <c r="O210">
        <f>LET(t,[@[Type verlof]],s,SEQUENCE(MAX(1,LEN(t)-3)),k,IFERROR(--MID(t,s,4),0),g,FILTER(k,(k&gt;=2000)*(k&lt;=2100),""),IFERROR(INDEX(g,1),""))</f>
        <v/>
      </c>
      <c r="P210">
        <f>LET(t,[@[Type verlof]],jj,[@Opbouwjaar],s,IF(jj="",t,SUBSTITUTE(t," "&amp;jj,"")),TRIM(s))</f>
        <v/>
      </c>
      <c r="Q210">
        <f>IF([@[Type verlof]]="","",IFERROR(XLOOKUP([@Basis_type],tblInstellingen[Basis verloftype],tblInstellingen[Aanvullingsrechtig]),"ONBEKEND"))</f>
        <v/>
      </c>
      <c r="R210">
        <f>IF(OR([@Opbouwjaar]="",[@[Type verlof]]=""),0,IFERROR(INDEX(FILTER(tblAanvulling[Totaalbedrag],(tblAanvulling[Mdw.]=[@[Mdw.]])*(tblAanvulling[Bkjr.]=[@Opbouwjaar]),0),1),0))</f>
        <v/>
      </c>
      <c r="S210">
        <f>IF([@Aanvullingsrechtig]="Ja",[@Beginsaldo]*[@Aanvulling_pu],0)</f>
        <v/>
      </c>
      <c r="T210">
        <f>IF(AND([@Opbouwjaar]&lt;&gt;"",[@Beginsaldo]&lt;&gt;0,OR([@Aanvullingsrechtig]="Ja",[@Aanvullingsrechtig]="Nee")),1,0)</f>
        <v/>
      </c>
    </row>
    <row r="211">
      <c r="O211">
        <f>LET(t,[@[Type verlof]],s,SEQUENCE(MAX(1,LEN(t)-3)),k,IFERROR(--MID(t,s,4),0),g,FILTER(k,(k&gt;=2000)*(k&lt;=2100),""),IFERROR(INDEX(g,1),""))</f>
        <v/>
      </c>
      <c r="P211">
        <f>LET(t,[@[Type verlof]],jj,[@Opbouwjaar],s,IF(jj="",t,SUBSTITUTE(t," "&amp;jj,"")),TRIM(s))</f>
        <v/>
      </c>
      <c r="Q211">
        <f>IF([@[Type verlof]]="","",IFERROR(XLOOKUP([@Basis_type],tblInstellingen[Basis verloftype],tblInstellingen[Aanvullingsrechtig]),"ONBEKEND"))</f>
        <v/>
      </c>
      <c r="R211">
        <f>IF(OR([@Opbouwjaar]="",[@[Type verlof]]=""),0,IFERROR(INDEX(FILTER(tblAanvulling[Totaalbedrag],(tblAanvulling[Mdw.]=[@[Mdw.]])*(tblAanvulling[Bkjr.]=[@Opbouwjaar]),0),1),0))</f>
        <v/>
      </c>
      <c r="S211">
        <f>IF([@Aanvullingsrechtig]="Ja",[@Beginsaldo]*[@Aanvulling_pu],0)</f>
        <v/>
      </c>
      <c r="T211">
        <f>IF(AND([@Opbouwjaar]&lt;&gt;"",[@Beginsaldo]&lt;&gt;0,OR([@Aanvullingsrechtig]="Ja",[@Aanvullingsrechtig]="Nee")),1,0)</f>
        <v/>
      </c>
    </row>
    <row r="212">
      <c r="O212">
        <f>LET(t,[@[Type verlof]],s,SEQUENCE(MAX(1,LEN(t)-3)),k,IFERROR(--MID(t,s,4),0),g,FILTER(k,(k&gt;=2000)*(k&lt;=2100),""),IFERROR(INDEX(g,1),""))</f>
        <v/>
      </c>
      <c r="P212">
        <f>LET(t,[@[Type verlof]],jj,[@Opbouwjaar],s,IF(jj="",t,SUBSTITUTE(t," "&amp;jj,"")),TRIM(s))</f>
        <v/>
      </c>
      <c r="Q212">
        <f>IF([@[Type verlof]]="","",IFERROR(XLOOKUP([@Basis_type],tblInstellingen[Basis verloftype],tblInstellingen[Aanvullingsrechtig]),"ONBEKEND"))</f>
        <v/>
      </c>
      <c r="R212">
        <f>IF(OR([@Opbouwjaar]="",[@[Type verlof]]=""),0,IFERROR(INDEX(FILTER(tblAanvulling[Totaalbedrag],(tblAanvulling[Mdw.]=[@[Mdw.]])*(tblAanvulling[Bkjr.]=[@Opbouwjaar]),0),1),0))</f>
        <v/>
      </c>
      <c r="S212">
        <f>IF([@Aanvullingsrechtig]="Ja",[@Beginsaldo]*[@Aanvulling_pu],0)</f>
        <v/>
      </c>
      <c r="T212">
        <f>IF(AND([@Opbouwjaar]&lt;&gt;"",[@Beginsaldo]&lt;&gt;0,OR([@Aanvullingsrechtig]="Ja",[@Aanvullingsrechtig]="Nee")),1,0)</f>
        <v/>
      </c>
    </row>
    <row r="213">
      <c r="O213">
        <f>LET(t,[@[Type verlof]],s,SEQUENCE(MAX(1,LEN(t)-3)),k,IFERROR(--MID(t,s,4),0),g,FILTER(k,(k&gt;=2000)*(k&lt;=2100),""),IFERROR(INDEX(g,1),""))</f>
        <v/>
      </c>
      <c r="P213">
        <f>LET(t,[@[Type verlof]],jj,[@Opbouwjaar],s,IF(jj="",t,SUBSTITUTE(t," "&amp;jj,"")),TRIM(s))</f>
        <v/>
      </c>
      <c r="Q213">
        <f>IF([@[Type verlof]]="","",IFERROR(XLOOKUP([@Basis_type],tblInstellingen[Basis verloftype],tblInstellingen[Aanvullingsrechtig]),"ONBEKEND"))</f>
        <v/>
      </c>
      <c r="R213">
        <f>IF(OR([@Opbouwjaar]="",[@[Type verlof]]=""),0,IFERROR(INDEX(FILTER(tblAanvulling[Totaalbedrag],(tblAanvulling[Mdw.]=[@[Mdw.]])*(tblAanvulling[Bkjr.]=[@Opbouwjaar]),0),1),0))</f>
        <v/>
      </c>
      <c r="S213">
        <f>IF([@Aanvullingsrechtig]="Ja",[@Beginsaldo]*[@Aanvulling_pu],0)</f>
        <v/>
      </c>
      <c r="T213">
        <f>IF(AND([@Opbouwjaar]&lt;&gt;"",[@Beginsaldo]&lt;&gt;0,OR([@Aanvullingsrechtig]="Ja",[@Aanvullingsrechtig]="Nee")),1,0)</f>
        <v/>
      </c>
    </row>
    <row r="214">
      <c r="O214">
        <f>LET(t,[@[Type verlof]],s,SEQUENCE(MAX(1,LEN(t)-3)),k,IFERROR(--MID(t,s,4),0),g,FILTER(k,(k&gt;=2000)*(k&lt;=2100),""),IFERROR(INDEX(g,1),""))</f>
        <v/>
      </c>
      <c r="P214">
        <f>LET(t,[@[Type verlof]],jj,[@Opbouwjaar],s,IF(jj="",t,SUBSTITUTE(t," "&amp;jj,"")),TRIM(s))</f>
        <v/>
      </c>
      <c r="Q214">
        <f>IF([@[Type verlof]]="","",IFERROR(XLOOKUP([@Basis_type],tblInstellingen[Basis verloftype],tblInstellingen[Aanvullingsrechtig]),"ONBEKEND"))</f>
        <v/>
      </c>
      <c r="R214">
        <f>IF(OR([@Opbouwjaar]="",[@[Type verlof]]=""),0,IFERROR(INDEX(FILTER(tblAanvulling[Totaalbedrag],(tblAanvulling[Mdw.]=[@[Mdw.]])*(tblAanvulling[Bkjr.]=[@Opbouwjaar]),0),1),0))</f>
        <v/>
      </c>
      <c r="S214">
        <f>IF([@Aanvullingsrechtig]="Ja",[@Beginsaldo]*[@Aanvulling_pu],0)</f>
        <v/>
      </c>
      <c r="T214">
        <f>IF(AND([@Opbouwjaar]&lt;&gt;"",[@Beginsaldo]&lt;&gt;0,OR([@Aanvullingsrechtig]="Ja",[@Aanvullingsrechtig]="Nee")),1,0)</f>
        <v/>
      </c>
    </row>
    <row r="215">
      <c r="O215">
        <f>LET(t,[@[Type verlof]],s,SEQUENCE(MAX(1,LEN(t)-3)),k,IFERROR(--MID(t,s,4),0),g,FILTER(k,(k&gt;=2000)*(k&lt;=2100),""),IFERROR(INDEX(g,1),""))</f>
        <v/>
      </c>
      <c r="P215">
        <f>LET(t,[@[Type verlof]],jj,[@Opbouwjaar],s,IF(jj="",t,SUBSTITUTE(t," "&amp;jj,"")),TRIM(s))</f>
        <v/>
      </c>
      <c r="Q215">
        <f>IF([@[Type verlof]]="","",IFERROR(XLOOKUP([@Basis_type],tblInstellingen[Basis verloftype],tblInstellingen[Aanvullingsrechtig]),"ONBEKEND"))</f>
        <v/>
      </c>
      <c r="R215">
        <f>IF(OR([@Opbouwjaar]="",[@[Type verlof]]=""),0,IFERROR(INDEX(FILTER(tblAanvulling[Totaalbedrag],(tblAanvulling[Mdw.]=[@[Mdw.]])*(tblAanvulling[Bkjr.]=[@Opbouwjaar]),0),1),0))</f>
        <v/>
      </c>
      <c r="S215">
        <f>IF([@Aanvullingsrechtig]="Ja",[@Beginsaldo]*[@Aanvulling_pu],0)</f>
        <v/>
      </c>
      <c r="T215">
        <f>IF(AND([@Opbouwjaar]&lt;&gt;"",[@Beginsaldo]&lt;&gt;0,OR([@Aanvullingsrechtig]="Ja",[@Aanvullingsrechtig]="Nee")),1,0)</f>
        <v/>
      </c>
    </row>
    <row r="216">
      <c r="O216">
        <f>LET(t,[@[Type verlof]],s,SEQUENCE(MAX(1,LEN(t)-3)),k,IFERROR(--MID(t,s,4),0),g,FILTER(k,(k&gt;=2000)*(k&lt;=2100),""),IFERROR(INDEX(g,1),""))</f>
        <v/>
      </c>
      <c r="P216">
        <f>LET(t,[@[Type verlof]],jj,[@Opbouwjaar],s,IF(jj="",t,SUBSTITUTE(t," "&amp;jj,"")),TRIM(s))</f>
        <v/>
      </c>
      <c r="Q216">
        <f>IF([@[Type verlof]]="","",IFERROR(XLOOKUP([@Basis_type],tblInstellingen[Basis verloftype],tblInstellingen[Aanvullingsrechtig]),"ONBEKEND"))</f>
        <v/>
      </c>
      <c r="R216">
        <f>IF(OR([@Opbouwjaar]="",[@[Type verlof]]=""),0,IFERROR(INDEX(FILTER(tblAanvulling[Totaalbedrag],(tblAanvulling[Mdw.]=[@[Mdw.]])*(tblAanvulling[Bkjr.]=[@Opbouwjaar]),0),1),0))</f>
        <v/>
      </c>
      <c r="S216">
        <f>IF([@Aanvullingsrechtig]="Ja",[@Beginsaldo]*[@Aanvulling_pu],0)</f>
        <v/>
      </c>
      <c r="T216">
        <f>IF(AND([@Opbouwjaar]&lt;&gt;"",[@Beginsaldo]&lt;&gt;0,OR([@Aanvullingsrechtig]="Ja",[@Aanvullingsrechtig]="Nee")),1,0)</f>
        <v/>
      </c>
    </row>
    <row r="217">
      <c r="O217">
        <f>LET(t,[@[Type verlof]],s,SEQUENCE(MAX(1,LEN(t)-3)),k,IFERROR(--MID(t,s,4),0),g,FILTER(k,(k&gt;=2000)*(k&lt;=2100),""),IFERROR(INDEX(g,1),""))</f>
        <v/>
      </c>
      <c r="P217">
        <f>LET(t,[@[Type verlof]],jj,[@Opbouwjaar],s,IF(jj="",t,SUBSTITUTE(t," "&amp;jj,"")),TRIM(s))</f>
        <v/>
      </c>
      <c r="Q217">
        <f>IF([@[Type verlof]]="","",IFERROR(XLOOKUP([@Basis_type],tblInstellingen[Basis verloftype],tblInstellingen[Aanvullingsrechtig]),"ONBEKEND"))</f>
        <v/>
      </c>
      <c r="R217">
        <f>IF(OR([@Opbouwjaar]="",[@[Type verlof]]=""),0,IFERROR(INDEX(FILTER(tblAanvulling[Totaalbedrag],(tblAanvulling[Mdw.]=[@[Mdw.]])*(tblAanvulling[Bkjr.]=[@Opbouwjaar]),0),1),0))</f>
        <v/>
      </c>
      <c r="S217">
        <f>IF([@Aanvullingsrechtig]="Ja",[@Beginsaldo]*[@Aanvulling_pu],0)</f>
        <v/>
      </c>
      <c r="T217">
        <f>IF(AND([@Opbouwjaar]&lt;&gt;"",[@Beginsaldo]&lt;&gt;0,OR([@Aanvullingsrechtig]="Ja",[@Aanvullingsrechtig]="Nee")),1,0)</f>
        <v/>
      </c>
    </row>
    <row r="218">
      <c r="O218">
        <f>LET(t,[@[Type verlof]],s,SEQUENCE(MAX(1,LEN(t)-3)),k,IFERROR(--MID(t,s,4),0),g,FILTER(k,(k&gt;=2000)*(k&lt;=2100),""),IFERROR(INDEX(g,1),""))</f>
        <v/>
      </c>
      <c r="P218">
        <f>LET(t,[@[Type verlof]],jj,[@Opbouwjaar],s,IF(jj="",t,SUBSTITUTE(t," "&amp;jj,"")),TRIM(s))</f>
        <v/>
      </c>
      <c r="Q218">
        <f>IF([@[Type verlof]]="","",IFERROR(XLOOKUP([@Basis_type],tblInstellingen[Basis verloftype],tblInstellingen[Aanvullingsrechtig]),"ONBEKEND"))</f>
        <v/>
      </c>
      <c r="R218">
        <f>IF(OR([@Opbouwjaar]="",[@[Type verlof]]=""),0,IFERROR(INDEX(FILTER(tblAanvulling[Totaalbedrag],(tblAanvulling[Mdw.]=[@[Mdw.]])*(tblAanvulling[Bkjr.]=[@Opbouwjaar]),0),1),0))</f>
        <v/>
      </c>
      <c r="S218">
        <f>IF([@Aanvullingsrechtig]="Ja",[@Beginsaldo]*[@Aanvulling_pu],0)</f>
        <v/>
      </c>
      <c r="T218">
        <f>IF(AND([@Opbouwjaar]&lt;&gt;"",[@Beginsaldo]&lt;&gt;0,OR([@Aanvullingsrechtig]="Ja",[@Aanvullingsrechtig]="Nee")),1,0)</f>
        <v/>
      </c>
    </row>
    <row r="219">
      <c r="O219">
        <f>LET(t,[@[Type verlof]],s,SEQUENCE(MAX(1,LEN(t)-3)),k,IFERROR(--MID(t,s,4),0),g,FILTER(k,(k&gt;=2000)*(k&lt;=2100),""),IFERROR(INDEX(g,1),""))</f>
        <v/>
      </c>
      <c r="P219">
        <f>LET(t,[@[Type verlof]],jj,[@Opbouwjaar],s,IF(jj="",t,SUBSTITUTE(t," "&amp;jj,"")),TRIM(s))</f>
        <v/>
      </c>
      <c r="Q219">
        <f>IF([@[Type verlof]]="","",IFERROR(XLOOKUP([@Basis_type],tblInstellingen[Basis verloftype],tblInstellingen[Aanvullingsrechtig]),"ONBEKEND"))</f>
        <v/>
      </c>
      <c r="R219">
        <f>IF(OR([@Opbouwjaar]="",[@[Type verlof]]=""),0,IFERROR(INDEX(FILTER(tblAanvulling[Totaalbedrag],(tblAanvulling[Mdw.]=[@[Mdw.]])*(tblAanvulling[Bkjr.]=[@Opbouwjaar]),0),1),0))</f>
        <v/>
      </c>
      <c r="S219">
        <f>IF([@Aanvullingsrechtig]="Ja",[@Beginsaldo]*[@Aanvulling_pu],0)</f>
        <v/>
      </c>
      <c r="T219">
        <f>IF(AND([@Opbouwjaar]&lt;&gt;"",[@Beginsaldo]&lt;&gt;0,OR([@Aanvullingsrechtig]="Ja",[@Aanvullingsrechtig]="Nee")),1,0)</f>
        <v/>
      </c>
    </row>
    <row r="220">
      <c r="O220">
        <f>LET(t,[@[Type verlof]],s,SEQUENCE(MAX(1,LEN(t)-3)),k,IFERROR(--MID(t,s,4),0),g,FILTER(k,(k&gt;=2000)*(k&lt;=2100),""),IFERROR(INDEX(g,1),""))</f>
        <v/>
      </c>
      <c r="P220">
        <f>LET(t,[@[Type verlof]],jj,[@Opbouwjaar],s,IF(jj="",t,SUBSTITUTE(t," "&amp;jj,"")),TRIM(s))</f>
        <v/>
      </c>
      <c r="Q220">
        <f>IF([@[Type verlof]]="","",IFERROR(XLOOKUP([@Basis_type],tblInstellingen[Basis verloftype],tblInstellingen[Aanvullingsrechtig]),"ONBEKEND"))</f>
        <v/>
      </c>
      <c r="R220">
        <f>IF(OR([@Opbouwjaar]="",[@[Type verlof]]=""),0,IFERROR(INDEX(FILTER(tblAanvulling[Totaalbedrag],(tblAanvulling[Mdw.]=[@[Mdw.]])*(tblAanvulling[Bkjr.]=[@Opbouwjaar]),0),1),0))</f>
        <v/>
      </c>
      <c r="S220">
        <f>IF([@Aanvullingsrechtig]="Ja",[@Beginsaldo]*[@Aanvulling_pu],0)</f>
        <v/>
      </c>
      <c r="T220">
        <f>IF(AND([@Opbouwjaar]&lt;&gt;"",[@Beginsaldo]&lt;&gt;0,OR([@Aanvullingsrechtig]="Ja",[@Aanvullingsrechtig]="Nee")),1,0)</f>
        <v/>
      </c>
    </row>
    <row r="221">
      <c r="O221">
        <f>LET(t,[@[Type verlof]],s,SEQUENCE(MAX(1,LEN(t)-3)),k,IFERROR(--MID(t,s,4),0),g,FILTER(k,(k&gt;=2000)*(k&lt;=2100),""),IFERROR(INDEX(g,1),""))</f>
        <v/>
      </c>
      <c r="P221">
        <f>LET(t,[@[Type verlof]],jj,[@Opbouwjaar],s,IF(jj="",t,SUBSTITUTE(t," "&amp;jj,"")),TRIM(s))</f>
        <v/>
      </c>
      <c r="Q221">
        <f>IF([@[Type verlof]]="","",IFERROR(XLOOKUP([@Basis_type],tblInstellingen[Basis verloftype],tblInstellingen[Aanvullingsrechtig]),"ONBEKEND"))</f>
        <v/>
      </c>
      <c r="R221">
        <f>IF(OR([@Opbouwjaar]="",[@[Type verlof]]=""),0,IFERROR(INDEX(FILTER(tblAanvulling[Totaalbedrag],(tblAanvulling[Mdw.]=[@[Mdw.]])*(tblAanvulling[Bkjr.]=[@Opbouwjaar]),0),1),0))</f>
        <v/>
      </c>
      <c r="S221">
        <f>IF([@Aanvullingsrechtig]="Ja",[@Beginsaldo]*[@Aanvulling_pu],0)</f>
        <v/>
      </c>
      <c r="T221">
        <f>IF(AND([@Opbouwjaar]&lt;&gt;"",[@Beginsaldo]&lt;&gt;0,OR([@Aanvullingsrechtig]="Ja",[@Aanvullingsrechtig]="Nee")),1,0)</f>
        <v/>
      </c>
    </row>
    <row r="222">
      <c r="O222">
        <f>LET(t,[@[Type verlof]],s,SEQUENCE(MAX(1,LEN(t)-3)),k,IFERROR(--MID(t,s,4),0),g,FILTER(k,(k&gt;=2000)*(k&lt;=2100),""),IFERROR(INDEX(g,1),""))</f>
        <v/>
      </c>
      <c r="P222">
        <f>LET(t,[@[Type verlof]],jj,[@Opbouwjaar],s,IF(jj="",t,SUBSTITUTE(t," "&amp;jj,"")),TRIM(s))</f>
        <v/>
      </c>
      <c r="Q222">
        <f>IF([@[Type verlof]]="","",IFERROR(XLOOKUP([@Basis_type],tblInstellingen[Basis verloftype],tblInstellingen[Aanvullingsrechtig]),"ONBEKEND"))</f>
        <v/>
      </c>
      <c r="R222">
        <f>IF(OR([@Opbouwjaar]="",[@[Type verlof]]=""),0,IFERROR(INDEX(FILTER(tblAanvulling[Totaalbedrag],(tblAanvulling[Mdw.]=[@[Mdw.]])*(tblAanvulling[Bkjr.]=[@Opbouwjaar]),0),1),0))</f>
        <v/>
      </c>
      <c r="S222">
        <f>IF([@Aanvullingsrechtig]="Ja",[@Beginsaldo]*[@Aanvulling_pu],0)</f>
        <v/>
      </c>
      <c r="T222">
        <f>IF(AND([@Opbouwjaar]&lt;&gt;"",[@Beginsaldo]&lt;&gt;0,OR([@Aanvullingsrechtig]="Ja",[@Aanvullingsrechtig]="Nee")),1,0)</f>
        <v/>
      </c>
    </row>
    <row r="223">
      <c r="O223">
        <f>LET(t,[@[Type verlof]],s,SEQUENCE(MAX(1,LEN(t)-3)),k,IFERROR(--MID(t,s,4),0),g,FILTER(k,(k&gt;=2000)*(k&lt;=2100),""),IFERROR(INDEX(g,1),""))</f>
        <v/>
      </c>
      <c r="P223">
        <f>LET(t,[@[Type verlof]],jj,[@Opbouwjaar],s,IF(jj="",t,SUBSTITUTE(t," "&amp;jj,"")),TRIM(s))</f>
        <v/>
      </c>
      <c r="Q223">
        <f>IF([@[Type verlof]]="","",IFERROR(XLOOKUP([@Basis_type],tblInstellingen[Basis verloftype],tblInstellingen[Aanvullingsrechtig]),"ONBEKEND"))</f>
        <v/>
      </c>
      <c r="R223">
        <f>IF(OR([@Opbouwjaar]="",[@[Type verlof]]=""),0,IFERROR(INDEX(FILTER(tblAanvulling[Totaalbedrag],(tblAanvulling[Mdw.]=[@[Mdw.]])*(tblAanvulling[Bkjr.]=[@Opbouwjaar]),0),1),0))</f>
        <v/>
      </c>
      <c r="S223">
        <f>IF([@Aanvullingsrechtig]="Ja",[@Beginsaldo]*[@Aanvulling_pu],0)</f>
        <v/>
      </c>
      <c r="T223">
        <f>IF(AND([@Opbouwjaar]&lt;&gt;"",[@Beginsaldo]&lt;&gt;0,OR([@Aanvullingsrechtig]="Ja",[@Aanvullingsrechtig]="Nee")),1,0)</f>
        <v/>
      </c>
    </row>
    <row r="224">
      <c r="O224">
        <f>LET(t,[@[Type verlof]],s,SEQUENCE(MAX(1,LEN(t)-3)),k,IFERROR(--MID(t,s,4),0),g,FILTER(k,(k&gt;=2000)*(k&lt;=2100),""),IFERROR(INDEX(g,1),""))</f>
        <v/>
      </c>
      <c r="P224">
        <f>LET(t,[@[Type verlof]],jj,[@Opbouwjaar],s,IF(jj="",t,SUBSTITUTE(t," "&amp;jj,"")),TRIM(s))</f>
        <v/>
      </c>
      <c r="Q224">
        <f>IF([@[Type verlof]]="","",IFERROR(XLOOKUP([@Basis_type],tblInstellingen[Basis verloftype],tblInstellingen[Aanvullingsrechtig]),"ONBEKEND"))</f>
        <v/>
      </c>
      <c r="R224">
        <f>IF(OR([@Opbouwjaar]="",[@[Type verlof]]=""),0,IFERROR(INDEX(FILTER(tblAanvulling[Totaalbedrag],(tblAanvulling[Mdw.]=[@[Mdw.]])*(tblAanvulling[Bkjr.]=[@Opbouwjaar]),0),1),0))</f>
        <v/>
      </c>
      <c r="S224">
        <f>IF([@Aanvullingsrechtig]="Ja",[@Beginsaldo]*[@Aanvulling_pu],0)</f>
        <v/>
      </c>
      <c r="T224">
        <f>IF(AND([@Opbouwjaar]&lt;&gt;"",[@Beginsaldo]&lt;&gt;0,OR([@Aanvullingsrechtig]="Ja",[@Aanvullingsrechtig]="Nee")),1,0)</f>
        <v/>
      </c>
    </row>
    <row r="225">
      <c r="O225">
        <f>LET(t,[@[Type verlof]],s,SEQUENCE(MAX(1,LEN(t)-3)),k,IFERROR(--MID(t,s,4),0),g,FILTER(k,(k&gt;=2000)*(k&lt;=2100),""),IFERROR(INDEX(g,1),""))</f>
        <v/>
      </c>
      <c r="P225">
        <f>LET(t,[@[Type verlof]],jj,[@Opbouwjaar],s,IF(jj="",t,SUBSTITUTE(t," "&amp;jj,"")),TRIM(s))</f>
        <v/>
      </c>
      <c r="Q225">
        <f>IF([@[Type verlof]]="","",IFERROR(XLOOKUP([@Basis_type],tblInstellingen[Basis verloftype],tblInstellingen[Aanvullingsrechtig]),"ONBEKEND"))</f>
        <v/>
      </c>
      <c r="R225">
        <f>IF(OR([@Opbouwjaar]="",[@[Type verlof]]=""),0,IFERROR(INDEX(FILTER(tblAanvulling[Totaalbedrag],(tblAanvulling[Mdw.]=[@[Mdw.]])*(tblAanvulling[Bkjr.]=[@Opbouwjaar]),0),1),0))</f>
        <v/>
      </c>
      <c r="S225">
        <f>IF([@Aanvullingsrechtig]="Ja",[@Beginsaldo]*[@Aanvulling_pu],0)</f>
        <v/>
      </c>
      <c r="T225">
        <f>IF(AND([@Opbouwjaar]&lt;&gt;"",[@Beginsaldo]&lt;&gt;0,OR([@Aanvullingsrechtig]="Ja",[@Aanvullingsrechtig]="Nee")),1,0)</f>
        <v/>
      </c>
    </row>
    <row r="226">
      <c r="O226">
        <f>LET(t,[@[Type verlof]],s,SEQUENCE(MAX(1,LEN(t)-3)),k,IFERROR(--MID(t,s,4),0),g,FILTER(k,(k&gt;=2000)*(k&lt;=2100),""),IFERROR(INDEX(g,1),""))</f>
        <v/>
      </c>
      <c r="P226">
        <f>LET(t,[@[Type verlof]],jj,[@Opbouwjaar],s,IF(jj="",t,SUBSTITUTE(t," "&amp;jj,"")),TRIM(s))</f>
        <v/>
      </c>
      <c r="Q226">
        <f>IF([@[Type verlof]]="","",IFERROR(XLOOKUP([@Basis_type],tblInstellingen[Basis verloftype],tblInstellingen[Aanvullingsrechtig]),"ONBEKEND"))</f>
        <v/>
      </c>
      <c r="R226">
        <f>IF(OR([@Opbouwjaar]="",[@[Type verlof]]=""),0,IFERROR(INDEX(FILTER(tblAanvulling[Totaalbedrag],(tblAanvulling[Mdw.]=[@[Mdw.]])*(tblAanvulling[Bkjr.]=[@Opbouwjaar]),0),1),0))</f>
        <v/>
      </c>
      <c r="S226">
        <f>IF([@Aanvullingsrechtig]="Ja",[@Beginsaldo]*[@Aanvulling_pu],0)</f>
        <v/>
      </c>
      <c r="T226">
        <f>IF(AND([@Opbouwjaar]&lt;&gt;"",[@Beginsaldo]&lt;&gt;0,OR([@Aanvullingsrechtig]="Ja",[@Aanvullingsrechtig]="Nee")),1,0)</f>
        <v/>
      </c>
    </row>
    <row r="227">
      <c r="O227">
        <f>LET(t,[@[Type verlof]],s,SEQUENCE(MAX(1,LEN(t)-3)),k,IFERROR(--MID(t,s,4),0),g,FILTER(k,(k&gt;=2000)*(k&lt;=2100),""),IFERROR(INDEX(g,1),""))</f>
        <v/>
      </c>
      <c r="P227">
        <f>LET(t,[@[Type verlof]],jj,[@Opbouwjaar],s,IF(jj="",t,SUBSTITUTE(t," "&amp;jj,"")),TRIM(s))</f>
        <v/>
      </c>
      <c r="Q227">
        <f>IF([@[Type verlof]]="","",IFERROR(XLOOKUP([@Basis_type],tblInstellingen[Basis verloftype],tblInstellingen[Aanvullingsrechtig]),"ONBEKEND"))</f>
        <v/>
      </c>
      <c r="R227">
        <f>IF(OR([@Opbouwjaar]="",[@[Type verlof]]=""),0,IFERROR(INDEX(FILTER(tblAanvulling[Totaalbedrag],(tblAanvulling[Mdw.]=[@[Mdw.]])*(tblAanvulling[Bkjr.]=[@Opbouwjaar]),0),1),0))</f>
        <v/>
      </c>
      <c r="S227">
        <f>IF([@Aanvullingsrechtig]="Ja",[@Beginsaldo]*[@Aanvulling_pu],0)</f>
        <v/>
      </c>
      <c r="T227">
        <f>IF(AND([@Opbouwjaar]&lt;&gt;"",[@Beginsaldo]&lt;&gt;0,OR([@Aanvullingsrechtig]="Ja",[@Aanvullingsrechtig]="Nee")),1,0)</f>
        <v/>
      </c>
    </row>
    <row r="228">
      <c r="O228">
        <f>LET(t,[@[Type verlof]],s,SEQUENCE(MAX(1,LEN(t)-3)),k,IFERROR(--MID(t,s,4),0),g,FILTER(k,(k&gt;=2000)*(k&lt;=2100),""),IFERROR(INDEX(g,1),""))</f>
        <v/>
      </c>
      <c r="P228">
        <f>LET(t,[@[Type verlof]],jj,[@Opbouwjaar],s,IF(jj="",t,SUBSTITUTE(t," "&amp;jj,"")),TRIM(s))</f>
        <v/>
      </c>
      <c r="Q228">
        <f>IF([@[Type verlof]]="","",IFERROR(XLOOKUP([@Basis_type],tblInstellingen[Basis verloftype],tblInstellingen[Aanvullingsrechtig]),"ONBEKEND"))</f>
        <v/>
      </c>
      <c r="R228">
        <f>IF(OR([@Opbouwjaar]="",[@[Type verlof]]=""),0,IFERROR(INDEX(FILTER(tblAanvulling[Totaalbedrag],(tblAanvulling[Mdw.]=[@[Mdw.]])*(tblAanvulling[Bkjr.]=[@Opbouwjaar]),0),1),0))</f>
        <v/>
      </c>
      <c r="S228">
        <f>IF([@Aanvullingsrechtig]="Ja",[@Beginsaldo]*[@Aanvulling_pu],0)</f>
        <v/>
      </c>
      <c r="T228">
        <f>IF(AND([@Opbouwjaar]&lt;&gt;"",[@Beginsaldo]&lt;&gt;0,OR([@Aanvullingsrechtig]="Ja",[@Aanvullingsrechtig]="Nee")),1,0)</f>
        <v/>
      </c>
    </row>
    <row r="229">
      <c r="O229">
        <f>LET(t,[@[Type verlof]],s,SEQUENCE(MAX(1,LEN(t)-3)),k,IFERROR(--MID(t,s,4),0),g,FILTER(k,(k&gt;=2000)*(k&lt;=2100),""),IFERROR(INDEX(g,1),""))</f>
        <v/>
      </c>
      <c r="P229">
        <f>LET(t,[@[Type verlof]],jj,[@Opbouwjaar],s,IF(jj="",t,SUBSTITUTE(t," "&amp;jj,"")),TRIM(s))</f>
        <v/>
      </c>
      <c r="Q229">
        <f>IF([@[Type verlof]]="","",IFERROR(XLOOKUP([@Basis_type],tblInstellingen[Basis verloftype],tblInstellingen[Aanvullingsrechtig]),"ONBEKEND"))</f>
        <v/>
      </c>
      <c r="R229">
        <f>IF(OR([@Opbouwjaar]="",[@[Type verlof]]=""),0,IFERROR(INDEX(FILTER(tblAanvulling[Totaalbedrag],(tblAanvulling[Mdw.]=[@[Mdw.]])*(tblAanvulling[Bkjr.]=[@Opbouwjaar]),0),1),0))</f>
        <v/>
      </c>
      <c r="S229">
        <f>IF([@Aanvullingsrechtig]="Ja",[@Beginsaldo]*[@Aanvulling_pu],0)</f>
        <v/>
      </c>
      <c r="T229">
        <f>IF(AND([@Opbouwjaar]&lt;&gt;"",[@Beginsaldo]&lt;&gt;0,OR([@Aanvullingsrechtig]="Ja",[@Aanvullingsrechtig]="Nee")),1,0)</f>
        <v/>
      </c>
    </row>
    <row r="230">
      <c r="O230">
        <f>LET(t,[@[Type verlof]],s,SEQUENCE(MAX(1,LEN(t)-3)),k,IFERROR(--MID(t,s,4),0),g,FILTER(k,(k&gt;=2000)*(k&lt;=2100),""),IFERROR(INDEX(g,1),""))</f>
        <v/>
      </c>
      <c r="P230">
        <f>LET(t,[@[Type verlof]],jj,[@Opbouwjaar],s,IF(jj="",t,SUBSTITUTE(t," "&amp;jj,"")),TRIM(s))</f>
        <v/>
      </c>
      <c r="Q230">
        <f>IF([@[Type verlof]]="","",IFERROR(XLOOKUP([@Basis_type],tblInstellingen[Basis verloftype],tblInstellingen[Aanvullingsrechtig]),"ONBEKEND"))</f>
        <v/>
      </c>
      <c r="R230">
        <f>IF(OR([@Opbouwjaar]="",[@[Type verlof]]=""),0,IFERROR(INDEX(FILTER(tblAanvulling[Totaalbedrag],(tblAanvulling[Mdw.]=[@[Mdw.]])*(tblAanvulling[Bkjr.]=[@Opbouwjaar]),0),1),0))</f>
        <v/>
      </c>
      <c r="S230">
        <f>IF([@Aanvullingsrechtig]="Ja",[@Beginsaldo]*[@Aanvulling_pu],0)</f>
        <v/>
      </c>
      <c r="T230">
        <f>IF(AND([@Opbouwjaar]&lt;&gt;"",[@Beginsaldo]&lt;&gt;0,OR([@Aanvullingsrechtig]="Ja",[@Aanvullingsrechtig]="Nee")),1,0)</f>
        <v/>
      </c>
    </row>
    <row r="231">
      <c r="O231">
        <f>LET(t,[@[Type verlof]],s,SEQUENCE(MAX(1,LEN(t)-3)),k,IFERROR(--MID(t,s,4),0),g,FILTER(k,(k&gt;=2000)*(k&lt;=2100),""),IFERROR(INDEX(g,1),""))</f>
        <v/>
      </c>
      <c r="P231">
        <f>LET(t,[@[Type verlof]],jj,[@Opbouwjaar],s,IF(jj="",t,SUBSTITUTE(t," "&amp;jj,"")),TRIM(s))</f>
        <v/>
      </c>
      <c r="Q231">
        <f>IF([@[Type verlof]]="","",IFERROR(XLOOKUP([@Basis_type],tblInstellingen[Basis verloftype],tblInstellingen[Aanvullingsrechtig]),"ONBEKEND"))</f>
        <v/>
      </c>
      <c r="R231">
        <f>IF(OR([@Opbouwjaar]="",[@[Type verlof]]=""),0,IFERROR(INDEX(FILTER(tblAanvulling[Totaalbedrag],(tblAanvulling[Mdw.]=[@[Mdw.]])*(tblAanvulling[Bkjr.]=[@Opbouwjaar]),0),1),0))</f>
        <v/>
      </c>
      <c r="S231">
        <f>IF([@Aanvullingsrechtig]="Ja",[@Beginsaldo]*[@Aanvulling_pu],0)</f>
        <v/>
      </c>
      <c r="T231">
        <f>IF(AND([@Opbouwjaar]&lt;&gt;"",[@Beginsaldo]&lt;&gt;0,OR([@Aanvullingsrechtig]="Ja",[@Aanvullingsrechtig]="Nee")),1,0)</f>
        <v/>
      </c>
    </row>
    <row r="232">
      <c r="O232">
        <f>LET(t,[@[Type verlof]],s,SEQUENCE(MAX(1,LEN(t)-3)),k,IFERROR(--MID(t,s,4),0),g,FILTER(k,(k&gt;=2000)*(k&lt;=2100),""),IFERROR(INDEX(g,1),""))</f>
        <v/>
      </c>
      <c r="P232">
        <f>LET(t,[@[Type verlof]],jj,[@Opbouwjaar],s,IF(jj="",t,SUBSTITUTE(t," "&amp;jj,"")),TRIM(s))</f>
        <v/>
      </c>
      <c r="Q232">
        <f>IF([@[Type verlof]]="","",IFERROR(XLOOKUP([@Basis_type],tblInstellingen[Basis verloftype],tblInstellingen[Aanvullingsrechtig]),"ONBEKEND"))</f>
        <v/>
      </c>
      <c r="R232">
        <f>IF(OR([@Opbouwjaar]="",[@[Type verlof]]=""),0,IFERROR(INDEX(FILTER(tblAanvulling[Totaalbedrag],(tblAanvulling[Mdw.]=[@[Mdw.]])*(tblAanvulling[Bkjr.]=[@Opbouwjaar]),0),1),0))</f>
        <v/>
      </c>
      <c r="S232">
        <f>IF([@Aanvullingsrechtig]="Ja",[@Beginsaldo]*[@Aanvulling_pu],0)</f>
        <v/>
      </c>
      <c r="T232">
        <f>IF(AND([@Opbouwjaar]&lt;&gt;"",[@Beginsaldo]&lt;&gt;0,OR([@Aanvullingsrechtig]="Ja",[@Aanvullingsrechtig]="Nee")),1,0)</f>
        <v/>
      </c>
    </row>
    <row r="233">
      <c r="O233">
        <f>LET(t,[@[Type verlof]],s,SEQUENCE(MAX(1,LEN(t)-3)),k,IFERROR(--MID(t,s,4),0),g,FILTER(k,(k&gt;=2000)*(k&lt;=2100),""),IFERROR(INDEX(g,1),""))</f>
        <v/>
      </c>
      <c r="P233">
        <f>LET(t,[@[Type verlof]],jj,[@Opbouwjaar],s,IF(jj="",t,SUBSTITUTE(t," "&amp;jj,"")),TRIM(s))</f>
        <v/>
      </c>
      <c r="Q233">
        <f>IF([@[Type verlof]]="","",IFERROR(XLOOKUP([@Basis_type],tblInstellingen[Basis verloftype],tblInstellingen[Aanvullingsrechtig]),"ONBEKEND"))</f>
        <v/>
      </c>
      <c r="R233">
        <f>IF(OR([@Opbouwjaar]="",[@[Type verlof]]=""),0,IFERROR(INDEX(FILTER(tblAanvulling[Totaalbedrag],(tblAanvulling[Mdw.]=[@[Mdw.]])*(tblAanvulling[Bkjr.]=[@Opbouwjaar]),0),1),0))</f>
        <v/>
      </c>
      <c r="S233">
        <f>IF([@Aanvullingsrechtig]="Ja",[@Beginsaldo]*[@Aanvulling_pu],0)</f>
        <v/>
      </c>
      <c r="T233">
        <f>IF(AND([@Opbouwjaar]&lt;&gt;"",[@Beginsaldo]&lt;&gt;0,OR([@Aanvullingsrechtig]="Ja",[@Aanvullingsrechtig]="Nee")),1,0)</f>
        <v/>
      </c>
    </row>
    <row r="234">
      <c r="O234">
        <f>LET(t,[@[Type verlof]],s,SEQUENCE(MAX(1,LEN(t)-3)),k,IFERROR(--MID(t,s,4),0),g,FILTER(k,(k&gt;=2000)*(k&lt;=2100),""),IFERROR(INDEX(g,1),""))</f>
        <v/>
      </c>
      <c r="P234">
        <f>LET(t,[@[Type verlof]],jj,[@Opbouwjaar],s,IF(jj="",t,SUBSTITUTE(t," "&amp;jj,"")),TRIM(s))</f>
        <v/>
      </c>
      <c r="Q234">
        <f>IF([@[Type verlof]]="","",IFERROR(XLOOKUP([@Basis_type],tblInstellingen[Basis verloftype],tblInstellingen[Aanvullingsrechtig]),"ONBEKEND"))</f>
        <v/>
      </c>
      <c r="R234">
        <f>IF(OR([@Opbouwjaar]="",[@[Type verlof]]=""),0,IFERROR(INDEX(FILTER(tblAanvulling[Totaalbedrag],(tblAanvulling[Mdw.]=[@[Mdw.]])*(tblAanvulling[Bkjr.]=[@Opbouwjaar]),0),1),0))</f>
        <v/>
      </c>
      <c r="S234">
        <f>IF([@Aanvullingsrechtig]="Ja",[@Beginsaldo]*[@Aanvulling_pu],0)</f>
        <v/>
      </c>
      <c r="T234">
        <f>IF(AND([@Opbouwjaar]&lt;&gt;"",[@Beginsaldo]&lt;&gt;0,OR([@Aanvullingsrechtig]="Ja",[@Aanvullingsrechtig]="Nee")),1,0)</f>
        <v/>
      </c>
    </row>
    <row r="235">
      <c r="O235">
        <f>LET(t,[@[Type verlof]],s,SEQUENCE(MAX(1,LEN(t)-3)),k,IFERROR(--MID(t,s,4),0),g,FILTER(k,(k&gt;=2000)*(k&lt;=2100),""),IFERROR(INDEX(g,1),""))</f>
        <v/>
      </c>
      <c r="P235">
        <f>LET(t,[@[Type verlof]],jj,[@Opbouwjaar],s,IF(jj="",t,SUBSTITUTE(t," "&amp;jj,"")),TRIM(s))</f>
        <v/>
      </c>
      <c r="Q235">
        <f>IF([@[Type verlof]]="","",IFERROR(XLOOKUP([@Basis_type],tblInstellingen[Basis verloftype],tblInstellingen[Aanvullingsrechtig]),"ONBEKEND"))</f>
        <v/>
      </c>
      <c r="R235">
        <f>IF(OR([@Opbouwjaar]="",[@[Type verlof]]=""),0,IFERROR(INDEX(FILTER(tblAanvulling[Totaalbedrag],(tblAanvulling[Mdw.]=[@[Mdw.]])*(tblAanvulling[Bkjr.]=[@Opbouwjaar]),0),1),0))</f>
        <v/>
      </c>
      <c r="S235">
        <f>IF([@Aanvullingsrechtig]="Ja",[@Beginsaldo]*[@Aanvulling_pu],0)</f>
        <v/>
      </c>
      <c r="T235">
        <f>IF(AND([@Opbouwjaar]&lt;&gt;"",[@Beginsaldo]&lt;&gt;0,OR([@Aanvullingsrechtig]="Ja",[@Aanvullingsrechtig]="Nee")),1,0)</f>
        <v/>
      </c>
    </row>
    <row r="236">
      <c r="O236">
        <f>LET(t,[@[Type verlof]],s,SEQUENCE(MAX(1,LEN(t)-3)),k,IFERROR(--MID(t,s,4),0),g,FILTER(k,(k&gt;=2000)*(k&lt;=2100),""),IFERROR(INDEX(g,1),""))</f>
        <v/>
      </c>
      <c r="P236">
        <f>LET(t,[@[Type verlof]],jj,[@Opbouwjaar],s,IF(jj="",t,SUBSTITUTE(t," "&amp;jj,"")),TRIM(s))</f>
        <v/>
      </c>
      <c r="Q236">
        <f>IF([@[Type verlof]]="","",IFERROR(XLOOKUP([@Basis_type],tblInstellingen[Basis verloftype],tblInstellingen[Aanvullingsrechtig]),"ONBEKEND"))</f>
        <v/>
      </c>
      <c r="R236">
        <f>IF(OR([@Opbouwjaar]="",[@[Type verlof]]=""),0,IFERROR(INDEX(FILTER(tblAanvulling[Totaalbedrag],(tblAanvulling[Mdw.]=[@[Mdw.]])*(tblAanvulling[Bkjr.]=[@Opbouwjaar]),0),1),0))</f>
        <v/>
      </c>
      <c r="S236">
        <f>IF([@Aanvullingsrechtig]="Ja",[@Beginsaldo]*[@Aanvulling_pu],0)</f>
        <v/>
      </c>
      <c r="T236">
        <f>IF(AND([@Opbouwjaar]&lt;&gt;"",[@Beginsaldo]&lt;&gt;0,OR([@Aanvullingsrechtig]="Ja",[@Aanvullingsrechtig]="Nee")),1,0)</f>
        <v/>
      </c>
    </row>
    <row r="237">
      <c r="O237">
        <f>LET(t,[@[Type verlof]],s,SEQUENCE(MAX(1,LEN(t)-3)),k,IFERROR(--MID(t,s,4),0),g,FILTER(k,(k&gt;=2000)*(k&lt;=2100),""),IFERROR(INDEX(g,1),""))</f>
        <v/>
      </c>
      <c r="P237">
        <f>LET(t,[@[Type verlof]],jj,[@Opbouwjaar],s,IF(jj="",t,SUBSTITUTE(t," "&amp;jj,"")),TRIM(s))</f>
        <v/>
      </c>
      <c r="Q237">
        <f>IF([@[Type verlof]]="","",IFERROR(XLOOKUP([@Basis_type],tblInstellingen[Basis verloftype],tblInstellingen[Aanvullingsrechtig]),"ONBEKEND"))</f>
        <v/>
      </c>
      <c r="R237">
        <f>IF(OR([@Opbouwjaar]="",[@[Type verlof]]=""),0,IFERROR(INDEX(FILTER(tblAanvulling[Totaalbedrag],(tblAanvulling[Mdw.]=[@[Mdw.]])*(tblAanvulling[Bkjr.]=[@Opbouwjaar]),0),1),0))</f>
        <v/>
      </c>
      <c r="S237">
        <f>IF([@Aanvullingsrechtig]="Ja",[@Beginsaldo]*[@Aanvulling_pu],0)</f>
        <v/>
      </c>
      <c r="T237">
        <f>IF(AND([@Opbouwjaar]&lt;&gt;"",[@Beginsaldo]&lt;&gt;0,OR([@Aanvullingsrechtig]="Ja",[@Aanvullingsrechtig]="Nee")),1,0)</f>
        <v/>
      </c>
    </row>
    <row r="238">
      <c r="O238">
        <f>LET(t,[@[Type verlof]],s,SEQUENCE(MAX(1,LEN(t)-3)),k,IFERROR(--MID(t,s,4),0),g,FILTER(k,(k&gt;=2000)*(k&lt;=2100),""),IFERROR(INDEX(g,1),""))</f>
        <v/>
      </c>
      <c r="P238">
        <f>LET(t,[@[Type verlof]],jj,[@Opbouwjaar],s,IF(jj="",t,SUBSTITUTE(t," "&amp;jj,"")),TRIM(s))</f>
        <v/>
      </c>
      <c r="Q238">
        <f>IF([@[Type verlof]]="","",IFERROR(XLOOKUP([@Basis_type],tblInstellingen[Basis verloftype],tblInstellingen[Aanvullingsrechtig]),"ONBEKEND"))</f>
        <v/>
      </c>
      <c r="R238">
        <f>IF(OR([@Opbouwjaar]="",[@[Type verlof]]=""),0,IFERROR(INDEX(FILTER(tblAanvulling[Totaalbedrag],(tblAanvulling[Mdw.]=[@[Mdw.]])*(tblAanvulling[Bkjr.]=[@Opbouwjaar]),0),1),0))</f>
        <v/>
      </c>
      <c r="S238">
        <f>IF([@Aanvullingsrechtig]="Ja",[@Beginsaldo]*[@Aanvulling_pu],0)</f>
        <v/>
      </c>
      <c r="T238">
        <f>IF(AND([@Opbouwjaar]&lt;&gt;"",[@Beginsaldo]&lt;&gt;0,OR([@Aanvullingsrechtig]="Ja",[@Aanvullingsrechtig]="Nee")),1,0)</f>
        <v/>
      </c>
    </row>
    <row r="239">
      <c r="O239">
        <f>LET(t,[@[Type verlof]],s,SEQUENCE(MAX(1,LEN(t)-3)),k,IFERROR(--MID(t,s,4),0),g,FILTER(k,(k&gt;=2000)*(k&lt;=2100),""),IFERROR(INDEX(g,1),""))</f>
        <v/>
      </c>
      <c r="P239">
        <f>LET(t,[@[Type verlof]],jj,[@Opbouwjaar],s,IF(jj="",t,SUBSTITUTE(t," "&amp;jj,"")),TRIM(s))</f>
        <v/>
      </c>
      <c r="Q239">
        <f>IF([@[Type verlof]]="","",IFERROR(XLOOKUP([@Basis_type],tblInstellingen[Basis verloftype],tblInstellingen[Aanvullingsrechtig]),"ONBEKEND"))</f>
        <v/>
      </c>
      <c r="R239">
        <f>IF(OR([@Opbouwjaar]="",[@[Type verlof]]=""),0,IFERROR(INDEX(FILTER(tblAanvulling[Totaalbedrag],(tblAanvulling[Mdw.]=[@[Mdw.]])*(tblAanvulling[Bkjr.]=[@Opbouwjaar]),0),1),0))</f>
        <v/>
      </c>
      <c r="S239">
        <f>IF([@Aanvullingsrechtig]="Ja",[@Beginsaldo]*[@Aanvulling_pu],0)</f>
        <v/>
      </c>
      <c r="T239">
        <f>IF(AND([@Opbouwjaar]&lt;&gt;"",[@Beginsaldo]&lt;&gt;0,OR([@Aanvullingsrechtig]="Ja",[@Aanvullingsrechtig]="Nee")),1,0)</f>
        <v/>
      </c>
    </row>
    <row r="240">
      <c r="O240">
        <f>LET(t,[@[Type verlof]],s,SEQUENCE(MAX(1,LEN(t)-3)),k,IFERROR(--MID(t,s,4),0),g,FILTER(k,(k&gt;=2000)*(k&lt;=2100),""),IFERROR(INDEX(g,1),""))</f>
        <v/>
      </c>
      <c r="P240">
        <f>LET(t,[@[Type verlof]],jj,[@Opbouwjaar],s,IF(jj="",t,SUBSTITUTE(t," "&amp;jj,"")),TRIM(s))</f>
        <v/>
      </c>
      <c r="Q240">
        <f>IF([@[Type verlof]]="","",IFERROR(XLOOKUP([@Basis_type],tblInstellingen[Basis verloftype],tblInstellingen[Aanvullingsrechtig]),"ONBEKEND"))</f>
        <v/>
      </c>
      <c r="R240">
        <f>IF(OR([@Opbouwjaar]="",[@[Type verlof]]=""),0,IFERROR(INDEX(FILTER(tblAanvulling[Totaalbedrag],(tblAanvulling[Mdw.]=[@[Mdw.]])*(tblAanvulling[Bkjr.]=[@Opbouwjaar]),0),1),0))</f>
        <v/>
      </c>
      <c r="S240">
        <f>IF([@Aanvullingsrechtig]="Ja",[@Beginsaldo]*[@Aanvulling_pu],0)</f>
        <v/>
      </c>
      <c r="T240">
        <f>IF(AND([@Opbouwjaar]&lt;&gt;"",[@Beginsaldo]&lt;&gt;0,OR([@Aanvullingsrechtig]="Ja",[@Aanvullingsrechtig]="Nee")),1,0)</f>
        <v/>
      </c>
    </row>
    <row r="241">
      <c r="O241">
        <f>LET(t,[@[Type verlof]],s,SEQUENCE(MAX(1,LEN(t)-3)),k,IFERROR(--MID(t,s,4),0),g,FILTER(k,(k&gt;=2000)*(k&lt;=2100),""),IFERROR(INDEX(g,1),""))</f>
        <v/>
      </c>
      <c r="P241">
        <f>LET(t,[@[Type verlof]],jj,[@Opbouwjaar],s,IF(jj="",t,SUBSTITUTE(t," "&amp;jj,"")),TRIM(s))</f>
        <v/>
      </c>
      <c r="Q241">
        <f>IF([@[Type verlof]]="","",IFERROR(XLOOKUP([@Basis_type],tblInstellingen[Basis verloftype],tblInstellingen[Aanvullingsrechtig]),"ONBEKEND"))</f>
        <v/>
      </c>
      <c r="R241">
        <f>IF(OR([@Opbouwjaar]="",[@[Type verlof]]=""),0,IFERROR(INDEX(FILTER(tblAanvulling[Totaalbedrag],(tblAanvulling[Mdw.]=[@[Mdw.]])*(tblAanvulling[Bkjr.]=[@Opbouwjaar]),0),1),0))</f>
        <v/>
      </c>
      <c r="S241">
        <f>IF([@Aanvullingsrechtig]="Ja",[@Beginsaldo]*[@Aanvulling_pu],0)</f>
        <v/>
      </c>
      <c r="T241">
        <f>IF(AND([@Opbouwjaar]&lt;&gt;"",[@Beginsaldo]&lt;&gt;0,OR([@Aanvullingsrechtig]="Ja",[@Aanvullingsrechtig]="Nee")),1,0)</f>
        <v/>
      </c>
    </row>
    <row r="242">
      <c r="O242">
        <f>LET(t,[@[Type verlof]],s,SEQUENCE(MAX(1,LEN(t)-3)),k,IFERROR(--MID(t,s,4),0),g,FILTER(k,(k&gt;=2000)*(k&lt;=2100),""),IFERROR(INDEX(g,1),""))</f>
        <v/>
      </c>
      <c r="P242">
        <f>LET(t,[@[Type verlof]],jj,[@Opbouwjaar],s,IF(jj="",t,SUBSTITUTE(t," "&amp;jj,"")),TRIM(s))</f>
        <v/>
      </c>
      <c r="Q242">
        <f>IF([@[Type verlof]]="","",IFERROR(XLOOKUP([@Basis_type],tblInstellingen[Basis verloftype],tblInstellingen[Aanvullingsrechtig]),"ONBEKEND"))</f>
        <v/>
      </c>
      <c r="R242">
        <f>IF(OR([@Opbouwjaar]="",[@[Type verlof]]=""),0,IFERROR(INDEX(FILTER(tblAanvulling[Totaalbedrag],(tblAanvulling[Mdw.]=[@[Mdw.]])*(tblAanvulling[Bkjr.]=[@Opbouwjaar]),0),1),0))</f>
        <v/>
      </c>
      <c r="S242">
        <f>IF([@Aanvullingsrechtig]="Ja",[@Beginsaldo]*[@Aanvulling_pu],0)</f>
        <v/>
      </c>
      <c r="T242">
        <f>IF(AND([@Opbouwjaar]&lt;&gt;"",[@Beginsaldo]&lt;&gt;0,OR([@Aanvullingsrechtig]="Ja",[@Aanvullingsrechtig]="Nee")),1,0)</f>
        <v/>
      </c>
    </row>
    <row r="243">
      <c r="O243">
        <f>LET(t,[@[Type verlof]],s,SEQUENCE(MAX(1,LEN(t)-3)),k,IFERROR(--MID(t,s,4),0),g,FILTER(k,(k&gt;=2000)*(k&lt;=2100),""),IFERROR(INDEX(g,1),""))</f>
        <v/>
      </c>
      <c r="P243">
        <f>LET(t,[@[Type verlof]],jj,[@Opbouwjaar],s,IF(jj="",t,SUBSTITUTE(t," "&amp;jj,"")),TRIM(s))</f>
        <v/>
      </c>
      <c r="Q243">
        <f>IF([@[Type verlof]]="","",IFERROR(XLOOKUP([@Basis_type],tblInstellingen[Basis verloftype],tblInstellingen[Aanvullingsrechtig]),"ONBEKEND"))</f>
        <v/>
      </c>
      <c r="R243">
        <f>IF(OR([@Opbouwjaar]="",[@[Type verlof]]=""),0,IFERROR(INDEX(FILTER(tblAanvulling[Totaalbedrag],(tblAanvulling[Mdw.]=[@[Mdw.]])*(tblAanvulling[Bkjr.]=[@Opbouwjaar]),0),1),0))</f>
        <v/>
      </c>
      <c r="S243">
        <f>IF([@Aanvullingsrechtig]="Ja",[@Beginsaldo]*[@Aanvulling_pu],0)</f>
        <v/>
      </c>
      <c r="T243">
        <f>IF(AND([@Opbouwjaar]&lt;&gt;"",[@Beginsaldo]&lt;&gt;0,OR([@Aanvullingsrechtig]="Ja",[@Aanvullingsrechtig]="Nee")),1,0)</f>
        <v/>
      </c>
    </row>
    <row r="244">
      <c r="O244">
        <f>LET(t,[@[Type verlof]],s,SEQUENCE(MAX(1,LEN(t)-3)),k,IFERROR(--MID(t,s,4),0),g,FILTER(k,(k&gt;=2000)*(k&lt;=2100),""),IFERROR(INDEX(g,1),""))</f>
        <v/>
      </c>
      <c r="P244">
        <f>LET(t,[@[Type verlof]],jj,[@Opbouwjaar],s,IF(jj="",t,SUBSTITUTE(t," "&amp;jj,"")),TRIM(s))</f>
        <v/>
      </c>
      <c r="Q244">
        <f>IF([@[Type verlof]]="","",IFERROR(XLOOKUP([@Basis_type],tblInstellingen[Basis verloftype],tblInstellingen[Aanvullingsrechtig]),"ONBEKEND"))</f>
        <v/>
      </c>
      <c r="R244">
        <f>IF(OR([@Opbouwjaar]="",[@[Type verlof]]=""),0,IFERROR(INDEX(FILTER(tblAanvulling[Totaalbedrag],(tblAanvulling[Mdw.]=[@[Mdw.]])*(tblAanvulling[Bkjr.]=[@Opbouwjaar]),0),1),0))</f>
        <v/>
      </c>
      <c r="S244">
        <f>IF([@Aanvullingsrechtig]="Ja",[@Beginsaldo]*[@Aanvulling_pu],0)</f>
        <v/>
      </c>
      <c r="T244">
        <f>IF(AND([@Opbouwjaar]&lt;&gt;"",[@Beginsaldo]&lt;&gt;0,OR([@Aanvullingsrechtig]="Ja",[@Aanvullingsrechtig]="Nee")),1,0)</f>
        <v/>
      </c>
    </row>
    <row r="245">
      <c r="O245">
        <f>LET(t,[@[Type verlof]],s,SEQUENCE(MAX(1,LEN(t)-3)),k,IFERROR(--MID(t,s,4),0),g,FILTER(k,(k&gt;=2000)*(k&lt;=2100),""),IFERROR(INDEX(g,1),""))</f>
        <v/>
      </c>
      <c r="P245">
        <f>LET(t,[@[Type verlof]],jj,[@Opbouwjaar],s,IF(jj="",t,SUBSTITUTE(t," "&amp;jj,"")),TRIM(s))</f>
        <v/>
      </c>
      <c r="Q245">
        <f>IF([@[Type verlof]]="","",IFERROR(XLOOKUP([@Basis_type],tblInstellingen[Basis verloftype],tblInstellingen[Aanvullingsrechtig]),"ONBEKEND"))</f>
        <v/>
      </c>
      <c r="R245">
        <f>IF(OR([@Opbouwjaar]="",[@[Type verlof]]=""),0,IFERROR(INDEX(FILTER(tblAanvulling[Totaalbedrag],(tblAanvulling[Mdw.]=[@[Mdw.]])*(tblAanvulling[Bkjr.]=[@Opbouwjaar]),0),1),0))</f>
        <v/>
      </c>
      <c r="S245">
        <f>IF([@Aanvullingsrechtig]="Ja",[@Beginsaldo]*[@Aanvulling_pu],0)</f>
        <v/>
      </c>
      <c r="T245">
        <f>IF(AND([@Opbouwjaar]&lt;&gt;"",[@Beginsaldo]&lt;&gt;0,OR([@Aanvullingsrechtig]="Ja",[@Aanvullingsrechtig]="Nee")),1,0)</f>
        <v/>
      </c>
    </row>
    <row r="246">
      <c r="O246">
        <f>LET(t,[@[Type verlof]],s,SEQUENCE(MAX(1,LEN(t)-3)),k,IFERROR(--MID(t,s,4),0),g,FILTER(k,(k&gt;=2000)*(k&lt;=2100),""),IFERROR(INDEX(g,1),""))</f>
        <v/>
      </c>
      <c r="P246">
        <f>LET(t,[@[Type verlof]],jj,[@Opbouwjaar],s,IF(jj="",t,SUBSTITUTE(t," "&amp;jj,"")),TRIM(s))</f>
        <v/>
      </c>
      <c r="Q246">
        <f>IF([@[Type verlof]]="","",IFERROR(XLOOKUP([@Basis_type],tblInstellingen[Basis verloftype],tblInstellingen[Aanvullingsrechtig]),"ONBEKEND"))</f>
        <v/>
      </c>
      <c r="R246">
        <f>IF(OR([@Opbouwjaar]="",[@[Type verlof]]=""),0,IFERROR(INDEX(FILTER(tblAanvulling[Totaalbedrag],(tblAanvulling[Mdw.]=[@[Mdw.]])*(tblAanvulling[Bkjr.]=[@Opbouwjaar]),0),1),0))</f>
        <v/>
      </c>
      <c r="S246">
        <f>IF([@Aanvullingsrechtig]="Ja",[@Beginsaldo]*[@Aanvulling_pu],0)</f>
        <v/>
      </c>
      <c r="T246">
        <f>IF(AND([@Opbouwjaar]&lt;&gt;"",[@Beginsaldo]&lt;&gt;0,OR([@Aanvullingsrechtig]="Ja",[@Aanvullingsrechtig]="Nee")),1,0)</f>
        <v/>
      </c>
    </row>
    <row r="247">
      <c r="O247">
        <f>LET(t,[@[Type verlof]],s,SEQUENCE(MAX(1,LEN(t)-3)),k,IFERROR(--MID(t,s,4),0),g,FILTER(k,(k&gt;=2000)*(k&lt;=2100),""),IFERROR(INDEX(g,1),""))</f>
        <v/>
      </c>
      <c r="P247">
        <f>LET(t,[@[Type verlof]],jj,[@Opbouwjaar],s,IF(jj="",t,SUBSTITUTE(t," "&amp;jj,"")),TRIM(s))</f>
        <v/>
      </c>
      <c r="Q247">
        <f>IF([@[Type verlof]]="","",IFERROR(XLOOKUP([@Basis_type],tblInstellingen[Basis verloftype],tblInstellingen[Aanvullingsrechtig]),"ONBEKEND"))</f>
        <v/>
      </c>
      <c r="R247">
        <f>IF(OR([@Opbouwjaar]="",[@[Type verlof]]=""),0,IFERROR(INDEX(FILTER(tblAanvulling[Totaalbedrag],(tblAanvulling[Mdw.]=[@[Mdw.]])*(tblAanvulling[Bkjr.]=[@Opbouwjaar]),0),1),0))</f>
        <v/>
      </c>
      <c r="S247">
        <f>IF([@Aanvullingsrechtig]="Ja",[@Beginsaldo]*[@Aanvulling_pu],0)</f>
        <v/>
      </c>
      <c r="T247">
        <f>IF(AND([@Opbouwjaar]&lt;&gt;"",[@Beginsaldo]&lt;&gt;0,OR([@Aanvullingsrechtig]="Ja",[@Aanvullingsrechtig]="Nee")),1,0)</f>
        <v/>
      </c>
    </row>
    <row r="248">
      <c r="O248">
        <f>LET(t,[@[Type verlof]],s,SEQUENCE(MAX(1,LEN(t)-3)),k,IFERROR(--MID(t,s,4),0),g,FILTER(k,(k&gt;=2000)*(k&lt;=2100),""),IFERROR(INDEX(g,1),""))</f>
        <v/>
      </c>
      <c r="P248">
        <f>LET(t,[@[Type verlof]],jj,[@Opbouwjaar],s,IF(jj="",t,SUBSTITUTE(t," "&amp;jj,"")),TRIM(s))</f>
        <v/>
      </c>
      <c r="Q248">
        <f>IF([@[Type verlof]]="","",IFERROR(XLOOKUP([@Basis_type],tblInstellingen[Basis verloftype],tblInstellingen[Aanvullingsrechtig]),"ONBEKEND"))</f>
        <v/>
      </c>
      <c r="R248">
        <f>IF(OR([@Opbouwjaar]="",[@[Type verlof]]=""),0,IFERROR(INDEX(FILTER(tblAanvulling[Totaalbedrag],(tblAanvulling[Mdw.]=[@[Mdw.]])*(tblAanvulling[Bkjr.]=[@Opbouwjaar]),0),1),0))</f>
        <v/>
      </c>
      <c r="S248">
        <f>IF([@Aanvullingsrechtig]="Ja",[@Beginsaldo]*[@Aanvulling_pu],0)</f>
        <v/>
      </c>
      <c r="T248">
        <f>IF(AND([@Opbouwjaar]&lt;&gt;"",[@Beginsaldo]&lt;&gt;0,OR([@Aanvullingsrechtig]="Ja",[@Aanvullingsrechtig]="Nee")),1,0)</f>
        <v/>
      </c>
    </row>
    <row r="249">
      <c r="O249">
        <f>LET(t,[@[Type verlof]],s,SEQUENCE(MAX(1,LEN(t)-3)),k,IFERROR(--MID(t,s,4),0),g,FILTER(k,(k&gt;=2000)*(k&lt;=2100),""),IFERROR(INDEX(g,1),""))</f>
        <v/>
      </c>
      <c r="P249">
        <f>LET(t,[@[Type verlof]],jj,[@Opbouwjaar],s,IF(jj="",t,SUBSTITUTE(t," "&amp;jj,"")),TRIM(s))</f>
        <v/>
      </c>
      <c r="Q249">
        <f>IF([@[Type verlof]]="","",IFERROR(XLOOKUP([@Basis_type],tblInstellingen[Basis verloftype],tblInstellingen[Aanvullingsrechtig]),"ONBEKEND"))</f>
        <v/>
      </c>
      <c r="R249">
        <f>IF(OR([@Opbouwjaar]="",[@[Type verlof]]=""),0,IFERROR(INDEX(FILTER(tblAanvulling[Totaalbedrag],(tblAanvulling[Mdw.]=[@[Mdw.]])*(tblAanvulling[Bkjr.]=[@Opbouwjaar]),0),1),0))</f>
        <v/>
      </c>
      <c r="S249">
        <f>IF([@Aanvullingsrechtig]="Ja",[@Beginsaldo]*[@Aanvulling_pu],0)</f>
        <v/>
      </c>
      <c r="T249">
        <f>IF(AND([@Opbouwjaar]&lt;&gt;"",[@Beginsaldo]&lt;&gt;0,OR([@Aanvullingsrechtig]="Ja",[@Aanvullingsrechtig]="Nee")),1,0)</f>
        <v/>
      </c>
    </row>
    <row r="250">
      <c r="O250">
        <f>LET(t,[@[Type verlof]],s,SEQUENCE(MAX(1,LEN(t)-3)),k,IFERROR(--MID(t,s,4),0),g,FILTER(k,(k&gt;=2000)*(k&lt;=2100),""),IFERROR(INDEX(g,1),""))</f>
        <v/>
      </c>
      <c r="P250">
        <f>LET(t,[@[Type verlof]],jj,[@Opbouwjaar],s,IF(jj="",t,SUBSTITUTE(t," "&amp;jj,"")),TRIM(s))</f>
        <v/>
      </c>
      <c r="Q250">
        <f>IF([@[Type verlof]]="","",IFERROR(XLOOKUP([@Basis_type],tblInstellingen[Basis verloftype],tblInstellingen[Aanvullingsrechtig]),"ONBEKEND"))</f>
        <v/>
      </c>
      <c r="R250">
        <f>IF(OR([@Opbouwjaar]="",[@[Type verlof]]=""),0,IFERROR(INDEX(FILTER(tblAanvulling[Totaalbedrag],(tblAanvulling[Mdw.]=[@[Mdw.]])*(tblAanvulling[Bkjr.]=[@Opbouwjaar]),0),1),0))</f>
        <v/>
      </c>
      <c r="S250">
        <f>IF([@Aanvullingsrechtig]="Ja",[@Beginsaldo]*[@Aanvulling_pu],0)</f>
        <v/>
      </c>
      <c r="T250">
        <f>IF(AND([@Opbouwjaar]&lt;&gt;"",[@Beginsaldo]&lt;&gt;0,OR([@Aanvullingsrechtig]="Ja",[@Aanvullingsrechtig]="Nee")),1,0)</f>
        <v/>
      </c>
    </row>
    <row r="251">
      <c r="O251">
        <f>LET(t,[@[Type verlof]],s,SEQUENCE(MAX(1,LEN(t)-3)),k,IFERROR(--MID(t,s,4),0),g,FILTER(k,(k&gt;=2000)*(k&lt;=2100),""),IFERROR(INDEX(g,1),""))</f>
        <v/>
      </c>
      <c r="P251">
        <f>LET(t,[@[Type verlof]],jj,[@Opbouwjaar],s,IF(jj="",t,SUBSTITUTE(t," "&amp;jj,"")),TRIM(s))</f>
        <v/>
      </c>
      <c r="Q251">
        <f>IF([@[Type verlof]]="","",IFERROR(XLOOKUP([@Basis_type],tblInstellingen[Basis verloftype],tblInstellingen[Aanvullingsrechtig]),"ONBEKEND"))</f>
        <v/>
      </c>
      <c r="R251">
        <f>IF(OR([@Opbouwjaar]="",[@[Type verlof]]=""),0,IFERROR(INDEX(FILTER(tblAanvulling[Totaalbedrag],(tblAanvulling[Mdw.]=[@[Mdw.]])*(tblAanvulling[Bkjr.]=[@Opbouwjaar]),0),1),0))</f>
        <v/>
      </c>
      <c r="S251">
        <f>IF([@Aanvullingsrechtig]="Ja",[@Beginsaldo]*[@Aanvulling_pu],0)</f>
        <v/>
      </c>
      <c r="T251">
        <f>IF(AND([@Opbouwjaar]&lt;&gt;"",[@Beginsaldo]&lt;&gt;0,OR([@Aanvullingsrechtig]="Ja",[@Aanvullingsrechtig]="Nee")),1,0)</f>
        <v/>
      </c>
    </row>
    <row r="252">
      <c r="O252">
        <f>LET(t,[@[Type verlof]],s,SEQUENCE(MAX(1,LEN(t)-3)),k,IFERROR(--MID(t,s,4),0),g,FILTER(k,(k&gt;=2000)*(k&lt;=2100),""),IFERROR(INDEX(g,1),""))</f>
        <v/>
      </c>
      <c r="P252">
        <f>LET(t,[@[Type verlof]],jj,[@Opbouwjaar],s,IF(jj="",t,SUBSTITUTE(t," "&amp;jj,"")),TRIM(s))</f>
        <v/>
      </c>
      <c r="Q252">
        <f>IF([@[Type verlof]]="","",IFERROR(XLOOKUP([@Basis_type],tblInstellingen[Basis verloftype],tblInstellingen[Aanvullingsrechtig]),"ONBEKEND"))</f>
        <v/>
      </c>
      <c r="R252">
        <f>IF(OR([@Opbouwjaar]="",[@[Type verlof]]=""),0,IFERROR(INDEX(FILTER(tblAanvulling[Totaalbedrag],(tblAanvulling[Mdw.]=[@[Mdw.]])*(tblAanvulling[Bkjr.]=[@Opbouwjaar]),0),1),0))</f>
        <v/>
      </c>
      <c r="S252">
        <f>IF([@Aanvullingsrechtig]="Ja",[@Beginsaldo]*[@Aanvulling_pu],0)</f>
        <v/>
      </c>
      <c r="T252">
        <f>IF(AND([@Opbouwjaar]&lt;&gt;"",[@Beginsaldo]&lt;&gt;0,OR([@Aanvullingsrechtig]="Ja",[@Aanvullingsrechtig]="Nee")),1,0)</f>
        <v/>
      </c>
    </row>
    <row r="253">
      <c r="O253">
        <f>LET(t,[@[Type verlof]],s,SEQUENCE(MAX(1,LEN(t)-3)),k,IFERROR(--MID(t,s,4),0),g,FILTER(k,(k&gt;=2000)*(k&lt;=2100),""),IFERROR(INDEX(g,1),""))</f>
        <v/>
      </c>
      <c r="P253">
        <f>LET(t,[@[Type verlof]],jj,[@Opbouwjaar],s,IF(jj="",t,SUBSTITUTE(t," "&amp;jj,"")),TRIM(s))</f>
        <v/>
      </c>
      <c r="Q253">
        <f>IF([@[Type verlof]]="","",IFERROR(XLOOKUP([@Basis_type],tblInstellingen[Basis verloftype],tblInstellingen[Aanvullingsrechtig]),"ONBEKEND"))</f>
        <v/>
      </c>
      <c r="R253">
        <f>IF(OR([@Opbouwjaar]="",[@[Type verlof]]=""),0,IFERROR(INDEX(FILTER(tblAanvulling[Totaalbedrag],(tblAanvulling[Mdw.]=[@[Mdw.]])*(tblAanvulling[Bkjr.]=[@Opbouwjaar]),0),1),0))</f>
        <v/>
      </c>
      <c r="S253">
        <f>IF([@Aanvullingsrechtig]="Ja",[@Beginsaldo]*[@Aanvulling_pu],0)</f>
        <v/>
      </c>
      <c r="T253">
        <f>IF(AND([@Opbouwjaar]&lt;&gt;"",[@Beginsaldo]&lt;&gt;0,OR([@Aanvullingsrechtig]="Ja",[@Aanvullingsrechtig]="Nee")),1,0)</f>
        <v/>
      </c>
    </row>
    <row r="254">
      <c r="O254">
        <f>LET(t,[@[Type verlof]],s,SEQUENCE(MAX(1,LEN(t)-3)),k,IFERROR(--MID(t,s,4),0),g,FILTER(k,(k&gt;=2000)*(k&lt;=2100),""),IFERROR(INDEX(g,1),""))</f>
        <v/>
      </c>
      <c r="P254">
        <f>LET(t,[@[Type verlof]],jj,[@Opbouwjaar],s,IF(jj="",t,SUBSTITUTE(t," "&amp;jj,"")),TRIM(s))</f>
        <v/>
      </c>
      <c r="Q254">
        <f>IF([@[Type verlof]]="","",IFERROR(XLOOKUP([@Basis_type],tblInstellingen[Basis verloftype],tblInstellingen[Aanvullingsrechtig]),"ONBEKEND"))</f>
        <v/>
      </c>
      <c r="R254">
        <f>IF(OR([@Opbouwjaar]="",[@[Type verlof]]=""),0,IFERROR(INDEX(FILTER(tblAanvulling[Totaalbedrag],(tblAanvulling[Mdw.]=[@[Mdw.]])*(tblAanvulling[Bkjr.]=[@Opbouwjaar]),0),1),0))</f>
        <v/>
      </c>
      <c r="S254">
        <f>IF([@Aanvullingsrechtig]="Ja",[@Beginsaldo]*[@Aanvulling_pu],0)</f>
        <v/>
      </c>
      <c r="T254">
        <f>IF(AND([@Opbouwjaar]&lt;&gt;"",[@Beginsaldo]&lt;&gt;0,OR([@Aanvullingsrechtig]="Ja",[@Aanvullingsrechtig]="Nee")),1,0)</f>
        <v/>
      </c>
    </row>
    <row r="255">
      <c r="O255">
        <f>LET(t,[@[Type verlof]],s,SEQUENCE(MAX(1,LEN(t)-3)),k,IFERROR(--MID(t,s,4),0),g,FILTER(k,(k&gt;=2000)*(k&lt;=2100),""),IFERROR(INDEX(g,1),""))</f>
        <v/>
      </c>
      <c r="P255">
        <f>LET(t,[@[Type verlof]],jj,[@Opbouwjaar],s,IF(jj="",t,SUBSTITUTE(t," "&amp;jj,"")),TRIM(s))</f>
        <v/>
      </c>
      <c r="Q255">
        <f>IF([@[Type verlof]]="","",IFERROR(XLOOKUP([@Basis_type],tblInstellingen[Basis verloftype],tblInstellingen[Aanvullingsrechtig]),"ONBEKEND"))</f>
        <v/>
      </c>
      <c r="R255">
        <f>IF(OR([@Opbouwjaar]="",[@[Type verlof]]=""),0,IFERROR(INDEX(FILTER(tblAanvulling[Totaalbedrag],(tblAanvulling[Mdw.]=[@[Mdw.]])*(tblAanvulling[Bkjr.]=[@Opbouwjaar]),0),1),0))</f>
        <v/>
      </c>
      <c r="S255">
        <f>IF([@Aanvullingsrechtig]="Ja",[@Beginsaldo]*[@Aanvulling_pu],0)</f>
        <v/>
      </c>
      <c r="T255">
        <f>IF(AND([@Opbouwjaar]&lt;&gt;"",[@Beginsaldo]&lt;&gt;0,OR([@Aanvullingsrechtig]="Ja",[@Aanvullingsrechtig]="Nee")),1,0)</f>
        <v/>
      </c>
    </row>
    <row r="256">
      <c r="O256">
        <f>LET(t,[@[Type verlof]],s,SEQUENCE(MAX(1,LEN(t)-3)),k,IFERROR(--MID(t,s,4),0),g,FILTER(k,(k&gt;=2000)*(k&lt;=2100),""),IFERROR(INDEX(g,1),""))</f>
        <v/>
      </c>
      <c r="P256">
        <f>LET(t,[@[Type verlof]],jj,[@Opbouwjaar],s,IF(jj="",t,SUBSTITUTE(t," "&amp;jj,"")),TRIM(s))</f>
        <v/>
      </c>
      <c r="Q256">
        <f>IF([@[Type verlof]]="","",IFERROR(XLOOKUP([@Basis_type],tblInstellingen[Basis verloftype],tblInstellingen[Aanvullingsrechtig]),"ONBEKEND"))</f>
        <v/>
      </c>
      <c r="R256">
        <f>IF(OR([@Opbouwjaar]="",[@[Type verlof]]=""),0,IFERROR(INDEX(FILTER(tblAanvulling[Totaalbedrag],(tblAanvulling[Mdw.]=[@[Mdw.]])*(tblAanvulling[Bkjr.]=[@Opbouwjaar]),0),1),0))</f>
        <v/>
      </c>
      <c r="S256">
        <f>IF([@Aanvullingsrechtig]="Ja",[@Beginsaldo]*[@Aanvulling_pu],0)</f>
        <v/>
      </c>
      <c r="T256">
        <f>IF(AND([@Opbouwjaar]&lt;&gt;"",[@Beginsaldo]&lt;&gt;0,OR([@Aanvullingsrechtig]="Ja",[@Aanvullingsrechtig]="Nee")),1,0)</f>
        <v/>
      </c>
    </row>
    <row r="257">
      <c r="O257">
        <f>LET(t,[@[Type verlof]],s,SEQUENCE(MAX(1,LEN(t)-3)),k,IFERROR(--MID(t,s,4),0),g,FILTER(k,(k&gt;=2000)*(k&lt;=2100),""),IFERROR(INDEX(g,1),""))</f>
        <v/>
      </c>
      <c r="P257">
        <f>LET(t,[@[Type verlof]],jj,[@Opbouwjaar],s,IF(jj="",t,SUBSTITUTE(t," "&amp;jj,"")),TRIM(s))</f>
        <v/>
      </c>
      <c r="Q257">
        <f>IF([@[Type verlof]]="","",IFERROR(XLOOKUP([@Basis_type],tblInstellingen[Basis verloftype],tblInstellingen[Aanvullingsrechtig]),"ONBEKEND"))</f>
        <v/>
      </c>
      <c r="R257">
        <f>IF(OR([@Opbouwjaar]="",[@[Type verlof]]=""),0,IFERROR(INDEX(FILTER(tblAanvulling[Totaalbedrag],(tblAanvulling[Mdw.]=[@[Mdw.]])*(tblAanvulling[Bkjr.]=[@Opbouwjaar]),0),1),0))</f>
        <v/>
      </c>
      <c r="S257">
        <f>IF([@Aanvullingsrechtig]="Ja",[@Beginsaldo]*[@Aanvulling_pu],0)</f>
        <v/>
      </c>
      <c r="T257">
        <f>IF(AND([@Opbouwjaar]&lt;&gt;"",[@Beginsaldo]&lt;&gt;0,OR([@Aanvullingsrechtig]="Ja",[@Aanvullingsrechtig]="Nee")),1,0)</f>
        <v/>
      </c>
    </row>
    <row r="258">
      <c r="O258">
        <f>LET(t,[@[Type verlof]],s,SEQUENCE(MAX(1,LEN(t)-3)),k,IFERROR(--MID(t,s,4),0),g,FILTER(k,(k&gt;=2000)*(k&lt;=2100),""),IFERROR(INDEX(g,1),""))</f>
        <v/>
      </c>
      <c r="P258">
        <f>LET(t,[@[Type verlof]],jj,[@Opbouwjaar],s,IF(jj="",t,SUBSTITUTE(t," "&amp;jj,"")),TRIM(s))</f>
        <v/>
      </c>
      <c r="Q258">
        <f>IF([@[Type verlof]]="","",IFERROR(XLOOKUP([@Basis_type],tblInstellingen[Basis verloftype],tblInstellingen[Aanvullingsrechtig]),"ONBEKEND"))</f>
        <v/>
      </c>
      <c r="R258">
        <f>IF(OR([@Opbouwjaar]="",[@[Type verlof]]=""),0,IFERROR(INDEX(FILTER(tblAanvulling[Totaalbedrag],(tblAanvulling[Mdw.]=[@[Mdw.]])*(tblAanvulling[Bkjr.]=[@Opbouwjaar]),0),1),0))</f>
        <v/>
      </c>
      <c r="S258">
        <f>IF([@Aanvullingsrechtig]="Ja",[@Beginsaldo]*[@Aanvulling_pu],0)</f>
        <v/>
      </c>
      <c r="T258">
        <f>IF(AND([@Opbouwjaar]&lt;&gt;"",[@Beginsaldo]&lt;&gt;0,OR([@Aanvullingsrechtig]="Ja",[@Aanvullingsrechtig]="Nee")),1,0)</f>
        <v/>
      </c>
    </row>
    <row r="259">
      <c r="O259">
        <f>LET(t,[@[Type verlof]],s,SEQUENCE(MAX(1,LEN(t)-3)),k,IFERROR(--MID(t,s,4),0),g,FILTER(k,(k&gt;=2000)*(k&lt;=2100),""),IFERROR(INDEX(g,1),""))</f>
        <v/>
      </c>
      <c r="P259">
        <f>LET(t,[@[Type verlof]],jj,[@Opbouwjaar],s,IF(jj="",t,SUBSTITUTE(t," "&amp;jj,"")),TRIM(s))</f>
        <v/>
      </c>
      <c r="Q259">
        <f>IF([@[Type verlof]]="","",IFERROR(XLOOKUP([@Basis_type],tblInstellingen[Basis verloftype],tblInstellingen[Aanvullingsrechtig]),"ONBEKEND"))</f>
        <v/>
      </c>
      <c r="R259">
        <f>IF(OR([@Opbouwjaar]="",[@[Type verlof]]=""),0,IFERROR(INDEX(FILTER(tblAanvulling[Totaalbedrag],(tblAanvulling[Mdw.]=[@[Mdw.]])*(tblAanvulling[Bkjr.]=[@Opbouwjaar]),0),1),0))</f>
        <v/>
      </c>
      <c r="S259">
        <f>IF([@Aanvullingsrechtig]="Ja",[@Beginsaldo]*[@Aanvulling_pu],0)</f>
        <v/>
      </c>
      <c r="T259">
        <f>IF(AND([@Opbouwjaar]&lt;&gt;"",[@Beginsaldo]&lt;&gt;0,OR([@Aanvullingsrechtig]="Ja",[@Aanvullingsrechtig]="Nee")),1,0)</f>
        <v/>
      </c>
    </row>
    <row r="260">
      <c r="O260">
        <f>LET(t,[@[Type verlof]],s,SEQUENCE(MAX(1,LEN(t)-3)),k,IFERROR(--MID(t,s,4),0),g,FILTER(k,(k&gt;=2000)*(k&lt;=2100),""),IFERROR(INDEX(g,1),""))</f>
        <v/>
      </c>
      <c r="P260">
        <f>LET(t,[@[Type verlof]],jj,[@Opbouwjaar],s,IF(jj="",t,SUBSTITUTE(t," "&amp;jj,"")),TRIM(s))</f>
        <v/>
      </c>
      <c r="Q260">
        <f>IF([@[Type verlof]]="","",IFERROR(XLOOKUP([@Basis_type],tblInstellingen[Basis verloftype],tblInstellingen[Aanvullingsrechtig]),"ONBEKEND"))</f>
        <v/>
      </c>
      <c r="R260">
        <f>IF(OR([@Opbouwjaar]="",[@[Type verlof]]=""),0,IFERROR(INDEX(FILTER(tblAanvulling[Totaalbedrag],(tblAanvulling[Mdw.]=[@[Mdw.]])*(tblAanvulling[Bkjr.]=[@Opbouwjaar]),0),1),0))</f>
        <v/>
      </c>
      <c r="S260">
        <f>IF([@Aanvullingsrechtig]="Ja",[@Beginsaldo]*[@Aanvulling_pu],0)</f>
        <v/>
      </c>
      <c r="T260">
        <f>IF(AND([@Opbouwjaar]&lt;&gt;"",[@Beginsaldo]&lt;&gt;0,OR([@Aanvullingsrechtig]="Ja",[@Aanvullingsrechtig]="Nee")),1,0)</f>
        <v/>
      </c>
    </row>
    <row r="261">
      <c r="O261">
        <f>LET(t,[@[Type verlof]],s,SEQUENCE(MAX(1,LEN(t)-3)),k,IFERROR(--MID(t,s,4),0),g,FILTER(k,(k&gt;=2000)*(k&lt;=2100),""),IFERROR(INDEX(g,1),""))</f>
        <v/>
      </c>
      <c r="P261">
        <f>LET(t,[@[Type verlof]],jj,[@Opbouwjaar],s,IF(jj="",t,SUBSTITUTE(t," "&amp;jj,"")),TRIM(s))</f>
        <v/>
      </c>
      <c r="Q261">
        <f>IF([@[Type verlof]]="","",IFERROR(XLOOKUP([@Basis_type],tblInstellingen[Basis verloftype],tblInstellingen[Aanvullingsrechtig]),"ONBEKEND"))</f>
        <v/>
      </c>
      <c r="R261">
        <f>IF(OR([@Opbouwjaar]="",[@[Type verlof]]=""),0,IFERROR(INDEX(FILTER(tblAanvulling[Totaalbedrag],(tblAanvulling[Mdw.]=[@[Mdw.]])*(tblAanvulling[Bkjr.]=[@Opbouwjaar]),0),1),0))</f>
        <v/>
      </c>
      <c r="S261">
        <f>IF([@Aanvullingsrechtig]="Ja",[@Beginsaldo]*[@Aanvulling_pu],0)</f>
        <v/>
      </c>
      <c r="T261">
        <f>IF(AND([@Opbouwjaar]&lt;&gt;"",[@Beginsaldo]&lt;&gt;0,OR([@Aanvullingsrechtig]="Ja",[@Aanvullingsrechtig]="Nee")),1,0)</f>
        <v/>
      </c>
    </row>
    <row r="262">
      <c r="O262">
        <f>LET(t,[@[Type verlof]],s,SEQUENCE(MAX(1,LEN(t)-3)),k,IFERROR(--MID(t,s,4),0),g,FILTER(k,(k&gt;=2000)*(k&lt;=2100),""),IFERROR(INDEX(g,1),""))</f>
        <v/>
      </c>
      <c r="P262">
        <f>LET(t,[@[Type verlof]],jj,[@Opbouwjaar],s,IF(jj="",t,SUBSTITUTE(t," "&amp;jj,"")),TRIM(s))</f>
        <v/>
      </c>
      <c r="Q262">
        <f>IF([@[Type verlof]]="","",IFERROR(XLOOKUP([@Basis_type],tblInstellingen[Basis verloftype],tblInstellingen[Aanvullingsrechtig]),"ONBEKEND"))</f>
        <v/>
      </c>
      <c r="R262">
        <f>IF(OR([@Opbouwjaar]="",[@[Type verlof]]=""),0,IFERROR(INDEX(FILTER(tblAanvulling[Totaalbedrag],(tblAanvulling[Mdw.]=[@[Mdw.]])*(tblAanvulling[Bkjr.]=[@Opbouwjaar]),0),1),0))</f>
        <v/>
      </c>
      <c r="S262">
        <f>IF([@Aanvullingsrechtig]="Ja",[@Beginsaldo]*[@Aanvulling_pu],0)</f>
        <v/>
      </c>
      <c r="T262">
        <f>IF(AND([@Opbouwjaar]&lt;&gt;"",[@Beginsaldo]&lt;&gt;0,OR([@Aanvullingsrechtig]="Ja",[@Aanvullingsrechtig]="Nee")),1,0)</f>
        <v/>
      </c>
    </row>
    <row r="263">
      <c r="O263">
        <f>LET(t,[@[Type verlof]],s,SEQUENCE(MAX(1,LEN(t)-3)),k,IFERROR(--MID(t,s,4),0),g,FILTER(k,(k&gt;=2000)*(k&lt;=2100),""),IFERROR(INDEX(g,1),""))</f>
        <v/>
      </c>
      <c r="P263">
        <f>LET(t,[@[Type verlof]],jj,[@Opbouwjaar],s,IF(jj="",t,SUBSTITUTE(t," "&amp;jj,"")),TRIM(s))</f>
        <v/>
      </c>
      <c r="Q263">
        <f>IF([@[Type verlof]]="","",IFERROR(XLOOKUP([@Basis_type],tblInstellingen[Basis verloftype],tblInstellingen[Aanvullingsrechtig]),"ONBEKEND"))</f>
        <v/>
      </c>
      <c r="R263">
        <f>IF(OR([@Opbouwjaar]="",[@[Type verlof]]=""),0,IFERROR(INDEX(FILTER(tblAanvulling[Totaalbedrag],(tblAanvulling[Mdw.]=[@[Mdw.]])*(tblAanvulling[Bkjr.]=[@Opbouwjaar]),0),1),0))</f>
        <v/>
      </c>
      <c r="S263">
        <f>IF([@Aanvullingsrechtig]="Ja",[@Beginsaldo]*[@Aanvulling_pu],0)</f>
        <v/>
      </c>
      <c r="T263">
        <f>IF(AND([@Opbouwjaar]&lt;&gt;"",[@Beginsaldo]&lt;&gt;0,OR([@Aanvullingsrechtig]="Ja",[@Aanvullingsrechtig]="Nee")),1,0)</f>
        <v/>
      </c>
    </row>
    <row r="264">
      <c r="O264">
        <f>LET(t,[@[Type verlof]],s,SEQUENCE(MAX(1,LEN(t)-3)),k,IFERROR(--MID(t,s,4),0),g,FILTER(k,(k&gt;=2000)*(k&lt;=2100),""),IFERROR(INDEX(g,1),""))</f>
        <v/>
      </c>
      <c r="P264">
        <f>LET(t,[@[Type verlof]],jj,[@Opbouwjaar],s,IF(jj="",t,SUBSTITUTE(t," "&amp;jj,"")),TRIM(s))</f>
        <v/>
      </c>
      <c r="Q264">
        <f>IF([@[Type verlof]]="","",IFERROR(XLOOKUP([@Basis_type],tblInstellingen[Basis verloftype],tblInstellingen[Aanvullingsrechtig]),"ONBEKEND"))</f>
        <v/>
      </c>
      <c r="R264">
        <f>IF(OR([@Opbouwjaar]="",[@[Type verlof]]=""),0,IFERROR(INDEX(FILTER(tblAanvulling[Totaalbedrag],(tblAanvulling[Mdw.]=[@[Mdw.]])*(tblAanvulling[Bkjr.]=[@Opbouwjaar]),0),1),0))</f>
        <v/>
      </c>
      <c r="S264">
        <f>IF([@Aanvullingsrechtig]="Ja",[@Beginsaldo]*[@Aanvulling_pu],0)</f>
        <v/>
      </c>
      <c r="T264">
        <f>IF(AND([@Opbouwjaar]&lt;&gt;"",[@Beginsaldo]&lt;&gt;0,OR([@Aanvullingsrechtig]="Ja",[@Aanvullingsrechtig]="Nee")),1,0)</f>
        <v/>
      </c>
    </row>
    <row r="265">
      <c r="O265">
        <f>LET(t,[@[Type verlof]],s,SEQUENCE(MAX(1,LEN(t)-3)),k,IFERROR(--MID(t,s,4),0),g,FILTER(k,(k&gt;=2000)*(k&lt;=2100),""),IFERROR(INDEX(g,1),""))</f>
        <v/>
      </c>
      <c r="P265">
        <f>LET(t,[@[Type verlof]],jj,[@Opbouwjaar],s,IF(jj="",t,SUBSTITUTE(t," "&amp;jj,"")),TRIM(s))</f>
        <v/>
      </c>
      <c r="Q265">
        <f>IF([@[Type verlof]]="","",IFERROR(XLOOKUP([@Basis_type],tblInstellingen[Basis verloftype],tblInstellingen[Aanvullingsrechtig]),"ONBEKEND"))</f>
        <v/>
      </c>
      <c r="R265">
        <f>IF(OR([@Opbouwjaar]="",[@[Type verlof]]=""),0,IFERROR(INDEX(FILTER(tblAanvulling[Totaalbedrag],(tblAanvulling[Mdw.]=[@[Mdw.]])*(tblAanvulling[Bkjr.]=[@Opbouwjaar]),0),1),0))</f>
        <v/>
      </c>
      <c r="S265">
        <f>IF([@Aanvullingsrechtig]="Ja",[@Beginsaldo]*[@Aanvulling_pu],0)</f>
        <v/>
      </c>
      <c r="T265">
        <f>IF(AND([@Opbouwjaar]&lt;&gt;"",[@Beginsaldo]&lt;&gt;0,OR([@Aanvullingsrechtig]="Ja",[@Aanvullingsrechtig]="Nee")),1,0)</f>
        <v/>
      </c>
    </row>
    <row r="266">
      <c r="O266">
        <f>LET(t,[@[Type verlof]],s,SEQUENCE(MAX(1,LEN(t)-3)),k,IFERROR(--MID(t,s,4),0),g,FILTER(k,(k&gt;=2000)*(k&lt;=2100),""),IFERROR(INDEX(g,1),""))</f>
        <v/>
      </c>
      <c r="P266">
        <f>LET(t,[@[Type verlof]],jj,[@Opbouwjaar],s,IF(jj="",t,SUBSTITUTE(t," "&amp;jj,"")),TRIM(s))</f>
        <v/>
      </c>
      <c r="Q266">
        <f>IF([@[Type verlof]]="","",IFERROR(XLOOKUP([@Basis_type],tblInstellingen[Basis verloftype],tblInstellingen[Aanvullingsrechtig]),"ONBEKEND"))</f>
        <v/>
      </c>
      <c r="R266">
        <f>IF(OR([@Opbouwjaar]="",[@[Type verlof]]=""),0,IFERROR(INDEX(FILTER(tblAanvulling[Totaalbedrag],(tblAanvulling[Mdw.]=[@[Mdw.]])*(tblAanvulling[Bkjr.]=[@Opbouwjaar]),0),1),0))</f>
        <v/>
      </c>
      <c r="S266">
        <f>IF([@Aanvullingsrechtig]="Ja",[@Beginsaldo]*[@Aanvulling_pu],0)</f>
        <v/>
      </c>
      <c r="T266">
        <f>IF(AND([@Opbouwjaar]&lt;&gt;"",[@Beginsaldo]&lt;&gt;0,OR([@Aanvullingsrechtig]="Ja",[@Aanvullingsrechtig]="Nee")),1,0)</f>
        <v/>
      </c>
    </row>
    <row r="267">
      <c r="O267">
        <f>LET(t,[@[Type verlof]],s,SEQUENCE(MAX(1,LEN(t)-3)),k,IFERROR(--MID(t,s,4),0),g,FILTER(k,(k&gt;=2000)*(k&lt;=2100),""),IFERROR(INDEX(g,1),""))</f>
        <v/>
      </c>
      <c r="P267">
        <f>LET(t,[@[Type verlof]],jj,[@Opbouwjaar],s,IF(jj="",t,SUBSTITUTE(t," "&amp;jj,"")),TRIM(s))</f>
        <v/>
      </c>
      <c r="Q267">
        <f>IF([@[Type verlof]]="","",IFERROR(XLOOKUP([@Basis_type],tblInstellingen[Basis verloftype],tblInstellingen[Aanvullingsrechtig]),"ONBEKEND"))</f>
        <v/>
      </c>
      <c r="R267">
        <f>IF(OR([@Opbouwjaar]="",[@[Type verlof]]=""),0,IFERROR(INDEX(FILTER(tblAanvulling[Totaalbedrag],(tblAanvulling[Mdw.]=[@[Mdw.]])*(tblAanvulling[Bkjr.]=[@Opbouwjaar]),0),1),0))</f>
        <v/>
      </c>
      <c r="S267">
        <f>IF([@Aanvullingsrechtig]="Ja",[@Beginsaldo]*[@Aanvulling_pu],0)</f>
        <v/>
      </c>
      <c r="T267">
        <f>IF(AND([@Opbouwjaar]&lt;&gt;"",[@Beginsaldo]&lt;&gt;0,OR([@Aanvullingsrechtig]="Ja",[@Aanvullingsrechtig]="Nee")),1,0)</f>
        <v/>
      </c>
    </row>
    <row r="268">
      <c r="O268">
        <f>LET(t,[@[Type verlof]],s,SEQUENCE(MAX(1,LEN(t)-3)),k,IFERROR(--MID(t,s,4),0),g,FILTER(k,(k&gt;=2000)*(k&lt;=2100),""),IFERROR(INDEX(g,1),""))</f>
        <v/>
      </c>
      <c r="P268">
        <f>LET(t,[@[Type verlof]],jj,[@Opbouwjaar],s,IF(jj="",t,SUBSTITUTE(t," "&amp;jj,"")),TRIM(s))</f>
        <v/>
      </c>
      <c r="Q268">
        <f>IF([@[Type verlof]]="","",IFERROR(XLOOKUP([@Basis_type],tblInstellingen[Basis verloftype],tblInstellingen[Aanvullingsrechtig]),"ONBEKEND"))</f>
        <v/>
      </c>
      <c r="R268">
        <f>IF(OR([@Opbouwjaar]="",[@[Type verlof]]=""),0,IFERROR(INDEX(FILTER(tblAanvulling[Totaalbedrag],(tblAanvulling[Mdw.]=[@[Mdw.]])*(tblAanvulling[Bkjr.]=[@Opbouwjaar]),0),1),0))</f>
        <v/>
      </c>
      <c r="S268">
        <f>IF([@Aanvullingsrechtig]="Ja",[@Beginsaldo]*[@Aanvulling_pu],0)</f>
        <v/>
      </c>
      <c r="T268">
        <f>IF(AND([@Opbouwjaar]&lt;&gt;"",[@Beginsaldo]&lt;&gt;0,OR([@Aanvullingsrechtig]="Ja",[@Aanvullingsrechtig]="Nee")),1,0)</f>
        <v/>
      </c>
    </row>
    <row r="269">
      <c r="O269">
        <f>LET(t,[@[Type verlof]],s,SEQUENCE(MAX(1,LEN(t)-3)),k,IFERROR(--MID(t,s,4),0),g,FILTER(k,(k&gt;=2000)*(k&lt;=2100),""),IFERROR(INDEX(g,1),""))</f>
        <v/>
      </c>
      <c r="P269">
        <f>LET(t,[@[Type verlof]],jj,[@Opbouwjaar],s,IF(jj="",t,SUBSTITUTE(t," "&amp;jj,"")),TRIM(s))</f>
        <v/>
      </c>
      <c r="Q269">
        <f>IF([@[Type verlof]]="","",IFERROR(XLOOKUP([@Basis_type],tblInstellingen[Basis verloftype],tblInstellingen[Aanvullingsrechtig]),"ONBEKEND"))</f>
        <v/>
      </c>
      <c r="R269">
        <f>IF(OR([@Opbouwjaar]="",[@[Type verlof]]=""),0,IFERROR(INDEX(FILTER(tblAanvulling[Totaalbedrag],(tblAanvulling[Mdw.]=[@[Mdw.]])*(tblAanvulling[Bkjr.]=[@Opbouwjaar]),0),1),0))</f>
        <v/>
      </c>
      <c r="S269">
        <f>IF([@Aanvullingsrechtig]="Ja",[@Beginsaldo]*[@Aanvulling_pu],0)</f>
        <v/>
      </c>
      <c r="T269">
        <f>IF(AND([@Opbouwjaar]&lt;&gt;"",[@Beginsaldo]&lt;&gt;0,OR([@Aanvullingsrechtig]="Ja",[@Aanvullingsrechtig]="Nee")),1,0)</f>
        <v/>
      </c>
    </row>
    <row r="270">
      <c r="O270">
        <f>LET(t,[@[Type verlof]],s,SEQUENCE(MAX(1,LEN(t)-3)),k,IFERROR(--MID(t,s,4),0),g,FILTER(k,(k&gt;=2000)*(k&lt;=2100),""),IFERROR(INDEX(g,1),""))</f>
        <v/>
      </c>
      <c r="P270">
        <f>LET(t,[@[Type verlof]],jj,[@Opbouwjaar],s,IF(jj="",t,SUBSTITUTE(t," "&amp;jj,"")),TRIM(s))</f>
        <v/>
      </c>
      <c r="Q270">
        <f>IF([@[Type verlof]]="","",IFERROR(XLOOKUP([@Basis_type],tblInstellingen[Basis verloftype],tblInstellingen[Aanvullingsrechtig]),"ONBEKEND"))</f>
        <v/>
      </c>
      <c r="R270">
        <f>IF(OR([@Opbouwjaar]="",[@[Type verlof]]=""),0,IFERROR(INDEX(FILTER(tblAanvulling[Totaalbedrag],(tblAanvulling[Mdw.]=[@[Mdw.]])*(tblAanvulling[Bkjr.]=[@Opbouwjaar]),0),1),0))</f>
        <v/>
      </c>
      <c r="S270">
        <f>IF([@Aanvullingsrechtig]="Ja",[@Beginsaldo]*[@Aanvulling_pu],0)</f>
        <v/>
      </c>
      <c r="T270">
        <f>IF(AND([@Opbouwjaar]&lt;&gt;"",[@Beginsaldo]&lt;&gt;0,OR([@Aanvullingsrechtig]="Ja",[@Aanvullingsrechtig]="Nee")),1,0)</f>
        <v/>
      </c>
    </row>
    <row r="271">
      <c r="O271">
        <f>LET(t,[@[Type verlof]],s,SEQUENCE(MAX(1,LEN(t)-3)),k,IFERROR(--MID(t,s,4),0),g,FILTER(k,(k&gt;=2000)*(k&lt;=2100),""),IFERROR(INDEX(g,1),""))</f>
        <v/>
      </c>
      <c r="P271">
        <f>LET(t,[@[Type verlof]],jj,[@Opbouwjaar],s,IF(jj="",t,SUBSTITUTE(t," "&amp;jj,"")),TRIM(s))</f>
        <v/>
      </c>
      <c r="Q271">
        <f>IF([@[Type verlof]]="","",IFERROR(XLOOKUP([@Basis_type],tblInstellingen[Basis verloftype],tblInstellingen[Aanvullingsrechtig]),"ONBEKEND"))</f>
        <v/>
      </c>
      <c r="R271">
        <f>IF(OR([@Opbouwjaar]="",[@[Type verlof]]=""),0,IFERROR(INDEX(FILTER(tblAanvulling[Totaalbedrag],(tblAanvulling[Mdw.]=[@[Mdw.]])*(tblAanvulling[Bkjr.]=[@Opbouwjaar]),0),1),0))</f>
        <v/>
      </c>
      <c r="S271">
        <f>IF([@Aanvullingsrechtig]="Ja",[@Beginsaldo]*[@Aanvulling_pu],0)</f>
        <v/>
      </c>
      <c r="T271">
        <f>IF(AND([@Opbouwjaar]&lt;&gt;"",[@Beginsaldo]&lt;&gt;0,OR([@Aanvullingsrechtig]="Ja",[@Aanvullingsrechtig]="Nee")),1,0)</f>
        <v/>
      </c>
    </row>
    <row r="272">
      <c r="O272">
        <f>LET(t,[@[Type verlof]],s,SEQUENCE(MAX(1,LEN(t)-3)),k,IFERROR(--MID(t,s,4),0),g,FILTER(k,(k&gt;=2000)*(k&lt;=2100),""),IFERROR(INDEX(g,1),""))</f>
        <v/>
      </c>
      <c r="P272">
        <f>LET(t,[@[Type verlof]],jj,[@Opbouwjaar],s,IF(jj="",t,SUBSTITUTE(t," "&amp;jj,"")),TRIM(s))</f>
        <v/>
      </c>
      <c r="Q272">
        <f>IF([@[Type verlof]]="","",IFERROR(XLOOKUP([@Basis_type],tblInstellingen[Basis verloftype],tblInstellingen[Aanvullingsrechtig]),"ONBEKEND"))</f>
        <v/>
      </c>
      <c r="R272">
        <f>IF(OR([@Opbouwjaar]="",[@[Type verlof]]=""),0,IFERROR(INDEX(FILTER(tblAanvulling[Totaalbedrag],(tblAanvulling[Mdw.]=[@[Mdw.]])*(tblAanvulling[Bkjr.]=[@Opbouwjaar]),0),1),0))</f>
        <v/>
      </c>
      <c r="S272">
        <f>IF([@Aanvullingsrechtig]="Ja",[@Beginsaldo]*[@Aanvulling_pu],0)</f>
        <v/>
      </c>
      <c r="T272">
        <f>IF(AND([@Opbouwjaar]&lt;&gt;"",[@Beginsaldo]&lt;&gt;0,OR([@Aanvullingsrechtig]="Ja",[@Aanvullingsrechtig]="Nee")),1,0)</f>
        <v/>
      </c>
    </row>
    <row r="273">
      <c r="O273">
        <f>LET(t,[@[Type verlof]],s,SEQUENCE(MAX(1,LEN(t)-3)),k,IFERROR(--MID(t,s,4),0),g,FILTER(k,(k&gt;=2000)*(k&lt;=2100),""),IFERROR(INDEX(g,1),""))</f>
        <v/>
      </c>
      <c r="P273">
        <f>LET(t,[@[Type verlof]],jj,[@Opbouwjaar],s,IF(jj="",t,SUBSTITUTE(t," "&amp;jj,"")),TRIM(s))</f>
        <v/>
      </c>
      <c r="Q273">
        <f>IF([@[Type verlof]]="","",IFERROR(XLOOKUP([@Basis_type],tblInstellingen[Basis verloftype],tblInstellingen[Aanvullingsrechtig]),"ONBEKEND"))</f>
        <v/>
      </c>
      <c r="R273">
        <f>IF(OR([@Opbouwjaar]="",[@[Type verlof]]=""),0,IFERROR(INDEX(FILTER(tblAanvulling[Totaalbedrag],(tblAanvulling[Mdw.]=[@[Mdw.]])*(tblAanvulling[Bkjr.]=[@Opbouwjaar]),0),1),0))</f>
        <v/>
      </c>
      <c r="S273">
        <f>IF([@Aanvullingsrechtig]="Ja",[@Beginsaldo]*[@Aanvulling_pu],0)</f>
        <v/>
      </c>
      <c r="T273">
        <f>IF(AND([@Opbouwjaar]&lt;&gt;"",[@Beginsaldo]&lt;&gt;0,OR([@Aanvullingsrechtig]="Ja",[@Aanvullingsrechtig]="Nee")),1,0)</f>
        <v/>
      </c>
    </row>
    <row r="274">
      <c r="O274">
        <f>LET(t,[@[Type verlof]],s,SEQUENCE(MAX(1,LEN(t)-3)),k,IFERROR(--MID(t,s,4),0),g,FILTER(k,(k&gt;=2000)*(k&lt;=2100),""),IFERROR(INDEX(g,1),""))</f>
        <v/>
      </c>
      <c r="P274">
        <f>LET(t,[@[Type verlof]],jj,[@Opbouwjaar],s,IF(jj="",t,SUBSTITUTE(t," "&amp;jj,"")),TRIM(s))</f>
        <v/>
      </c>
      <c r="Q274">
        <f>IF([@[Type verlof]]="","",IFERROR(XLOOKUP([@Basis_type],tblInstellingen[Basis verloftype],tblInstellingen[Aanvullingsrechtig]),"ONBEKEND"))</f>
        <v/>
      </c>
      <c r="R274">
        <f>IF(OR([@Opbouwjaar]="",[@[Type verlof]]=""),0,IFERROR(INDEX(FILTER(tblAanvulling[Totaalbedrag],(tblAanvulling[Mdw.]=[@[Mdw.]])*(tblAanvulling[Bkjr.]=[@Opbouwjaar]),0),1),0))</f>
        <v/>
      </c>
      <c r="S274">
        <f>IF([@Aanvullingsrechtig]="Ja",[@Beginsaldo]*[@Aanvulling_pu],0)</f>
        <v/>
      </c>
      <c r="T274">
        <f>IF(AND([@Opbouwjaar]&lt;&gt;"",[@Beginsaldo]&lt;&gt;0,OR([@Aanvullingsrechtig]="Ja",[@Aanvullingsrechtig]="Nee")),1,0)</f>
        <v/>
      </c>
    </row>
    <row r="275">
      <c r="O275">
        <f>LET(t,[@[Type verlof]],s,SEQUENCE(MAX(1,LEN(t)-3)),k,IFERROR(--MID(t,s,4),0),g,FILTER(k,(k&gt;=2000)*(k&lt;=2100),""),IFERROR(INDEX(g,1),""))</f>
        <v/>
      </c>
      <c r="P275">
        <f>LET(t,[@[Type verlof]],jj,[@Opbouwjaar],s,IF(jj="",t,SUBSTITUTE(t," "&amp;jj,"")),TRIM(s))</f>
        <v/>
      </c>
      <c r="Q275">
        <f>IF([@[Type verlof]]="","",IFERROR(XLOOKUP([@Basis_type],tblInstellingen[Basis verloftype],tblInstellingen[Aanvullingsrechtig]),"ONBEKEND"))</f>
        <v/>
      </c>
      <c r="R275">
        <f>IF(OR([@Opbouwjaar]="",[@[Type verlof]]=""),0,IFERROR(INDEX(FILTER(tblAanvulling[Totaalbedrag],(tblAanvulling[Mdw.]=[@[Mdw.]])*(tblAanvulling[Bkjr.]=[@Opbouwjaar]),0),1),0))</f>
        <v/>
      </c>
      <c r="S275">
        <f>IF([@Aanvullingsrechtig]="Ja",[@Beginsaldo]*[@Aanvulling_pu],0)</f>
        <v/>
      </c>
      <c r="T275">
        <f>IF(AND([@Opbouwjaar]&lt;&gt;"",[@Beginsaldo]&lt;&gt;0,OR([@Aanvullingsrechtig]="Ja",[@Aanvullingsrechtig]="Nee")),1,0)</f>
        <v/>
      </c>
    </row>
    <row r="276">
      <c r="O276">
        <f>LET(t,[@[Type verlof]],s,SEQUENCE(MAX(1,LEN(t)-3)),k,IFERROR(--MID(t,s,4),0),g,FILTER(k,(k&gt;=2000)*(k&lt;=2100),""),IFERROR(INDEX(g,1),""))</f>
        <v/>
      </c>
      <c r="P276">
        <f>LET(t,[@[Type verlof]],jj,[@Opbouwjaar],s,IF(jj="",t,SUBSTITUTE(t," "&amp;jj,"")),TRIM(s))</f>
        <v/>
      </c>
      <c r="Q276">
        <f>IF([@[Type verlof]]="","",IFERROR(XLOOKUP([@Basis_type],tblInstellingen[Basis verloftype],tblInstellingen[Aanvullingsrechtig]),"ONBEKEND"))</f>
        <v/>
      </c>
      <c r="R276">
        <f>IF(OR([@Opbouwjaar]="",[@[Type verlof]]=""),0,IFERROR(INDEX(FILTER(tblAanvulling[Totaalbedrag],(tblAanvulling[Mdw.]=[@[Mdw.]])*(tblAanvulling[Bkjr.]=[@Opbouwjaar]),0),1),0))</f>
        <v/>
      </c>
      <c r="S276">
        <f>IF([@Aanvullingsrechtig]="Ja",[@Beginsaldo]*[@Aanvulling_pu],0)</f>
        <v/>
      </c>
      <c r="T276">
        <f>IF(AND([@Opbouwjaar]&lt;&gt;"",[@Beginsaldo]&lt;&gt;0,OR([@Aanvullingsrechtig]="Ja",[@Aanvullingsrechtig]="Nee")),1,0)</f>
        <v/>
      </c>
    </row>
    <row r="277">
      <c r="O277">
        <f>LET(t,[@[Type verlof]],s,SEQUENCE(MAX(1,LEN(t)-3)),k,IFERROR(--MID(t,s,4),0),g,FILTER(k,(k&gt;=2000)*(k&lt;=2100),""),IFERROR(INDEX(g,1),""))</f>
        <v/>
      </c>
      <c r="P277">
        <f>LET(t,[@[Type verlof]],jj,[@Opbouwjaar],s,IF(jj="",t,SUBSTITUTE(t," "&amp;jj,"")),TRIM(s))</f>
        <v/>
      </c>
      <c r="Q277">
        <f>IF([@[Type verlof]]="","",IFERROR(XLOOKUP([@Basis_type],tblInstellingen[Basis verloftype],tblInstellingen[Aanvullingsrechtig]),"ONBEKEND"))</f>
        <v/>
      </c>
      <c r="R277">
        <f>IF(OR([@Opbouwjaar]="",[@[Type verlof]]=""),0,IFERROR(INDEX(FILTER(tblAanvulling[Totaalbedrag],(tblAanvulling[Mdw.]=[@[Mdw.]])*(tblAanvulling[Bkjr.]=[@Opbouwjaar]),0),1),0))</f>
        <v/>
      </c>
      <c r="S277">
        <f>IF([@Aanvullingsrechtig]="Ja",[@Beginsaldo]*[@Aanvulling_pu],0)</f>
        <v/>
      </c>
      <c r="T277">
        <f>IF(AND([@Opbouwjaar]&lt;&gt;"",[@Beginsaldo]&lt;&gt;0,OR([@Aanvullingsrechtig]="Ja",[@Aanvullingsrechtig]="Nee")),1,0)</f>
        <v/>
      </c>
    </row>
    <row r="278">
      <c r="O278">
        <f>LET(t,[@[Type verlof]],s,SEQUENCE(MAX(1,LEN(t)-3)),k,IFERROR(--MID(t,s,4),0),g,FILTER(k,(k&gt;=2000)*(k&lt;=2100),""),IFERROR(INDEX(g,1),""))</f>
        <v/>
      </c>
      <c r="P278">
        <f>LET(t,[@[Type verlof]],jj,[@Opbouwjaar],s,IF(jj="",t,SUBSTITUTE(t," "&amp;jj,"")),TRIM(s))</f>
        <v/>
      </c>
      <c r="Q278">
        <f>IF([@[Type verlof]]="","",IFERROR(XLOOKUP([@Basis_type],tblInstellingen[Basis verloftype],tblInstellingen[Aanvullingsrechtig]),"ONBEKEND"))</f>
        <v/>
      </c>
      <c r="R278">
        <f>IF(OR([@Opbouwjaar]="",[@[Type verlof]]=""),0,IFERROR(INDEX(FILTER(tblAanvulling[Totaalbedrag],(tblAanvulling[Mdw.]=[@[Mdw.]])*(tblAanvulling[Bkjr.]=[@Opbouwjaar]),0),1),0))</f>
        <v/>
      </c>
      <c r="S278">
        <f>IF([@Aanvullingsrechtig]="Ja",[@Beginsaldo]*[@Aanvulling_pu],0)</f>
        <v/>
      </c>
      <c r="T278">
        <f>IF(AND([@Opbouwjaar]&lt;&gt;"",[@Beginsaldo]&lt;&gt;0,OR([@Aanvullingsrechtig]="Ja",[@Aanvullingsrechtig]="Nee")),1,0)</f>
        <v/>
      </c>
    </row>
    <row r="279">
      <c r="O279">
        <f>LET(t,[@[Type verlof]],s,SEQUENCE(MAX(1,LEN(t)-3)),k,IFERROR(--MID(t,s,4),0),g,FILTER(k,(k&gt;=2000)*(k&lt;=2100),""),IFERROR(INDEX(g,1),""))</f>
        <v/>
      </c>
      <c r="P279">
        <f>LET(t,[@[Type verlof]],jj,[@Opbouwjaar],s,IF(jj="",t,SUBSTITUTE(t," "&amp;jj,"")),TRIM(s))</f>
        <v/>
      </c>
      <c r="Q279">
        <f>IF([@[Type verlof]]="","",IFERROR(XLOOKUP([@Basis_type],tblInstellingen[Basis verloftype],tblInstellingen[Aanvullingsrechtig]),"ONBEKEND"))</f>
        <v/>
      </c>
      <c r="R279">
        <f>IF(OR([@Opbouwjaar]="",[@[Type verlof]]=""),0,IFERROR(INDEX(FILTER(tblAanvulling[Totaalbedrag],(tblAanvulling[Mdw.]=[@[Mdw.]])*(tblAanvulling[Bkjr.]=[@Opbouwjaar]),0),1),0))</f>
        <v/>
      </c>
      <c r="S279">
        <f>IF([@Aanvullingsrechtig]="Ja",[@Beginsaldo]*[@Aanvulling_pu],0)</f>
        <v/>
      </c>
      <c r="T279">
        <f>IF(AND([@Opbouwjaar]&lt;&gt;"",[@Beginsaldo]&lt;&gt;0,OR([@Aanvullingsrechtig]="Ja",[@Aanvullingsrechtig]="Nee")),1,0)</f>
        <v/>
      </c>
    </row>
    <row r="280">
      <c r="O280">
        <f>LET(t,[@[Type verlof]],s,SEQUENCE(MAX(1,LEN(t)-3)),k,IFERROR(--MID(t,s,4),0),g,FILTER(k,(k&gt;=2000)*(k&lt;=2100),""),IFERROR(INDEX(g,1),""))</f>
        <v/>
      </c>
      <c r="P280">
        <f>LET(t,[@[Type verlof]],jj,[@Opbouwjaar],s,IF(jj="",t,SUBSTITUTE(t," "&amp;jj,"")),TRIM(s))</f>
        <v/>
      </c>
      <c r="Q280">
        <f>IF([@[Type verlof]]="","",IFERROR(XLOOKUP([@Basis_type],tblInstellingen[Basis verloftype],tblInstellingen[Aanvullingsrechtig]),"ONBEKEND"))</f>
        <v/>
      </c>
      <c r="R280">
        <f>IF(OR([@Opbouwjaar]="",[@[Type verlof]]=""),0,IFERROR(INDEX(FILTER(tblAanvulling[Totaalbedrag],(tblAanvulling[Mdw.]=[@[Mdw.]])*(tblAanvulling[Bkjr.]=[@Opbouwjaar]),0),1),0))</f>
        <v/>
      </c>
      <c r="S280">
        <f>IF([@Aanvullingsrechtig]="Ja",[@Beginsaldo]*[@Aanvulling_pu],0)</f>
        <v/>
      </c>
      <c r="T280">
        <f>IF(AND([@Opbouwjaar]&lt;&gt;"",[@Beginsaldo]&lt;&gt;0,OR([@Aanvullingsrechtig]="Ja",[@Aanvullingsrechtig]="Nee")),1,0)</f>
        <v/>
      </c>
    </row>
    <row r="281">
      <c r="O281">
        <f>LET(t,[@[Type verlof]],s,SEQUENCE(MAX(1,LEN(t)-3)),k,IFERROR(--MID(t,s,4),0),g,FILTER(k,(k&gt;=2000)*(k&lt;=2100),""),IFERROR(INDEX(g,1),""))</f>
        <v/>
      </c>
      <c r="P281">
        <f>LET(t,[@[Type verlof]],jj,[@Opbouwjaar],s,IF(jj="",t,SUBSTITUTE(t," "&amp;jj,"")),TRIM(s))</f>
        <v/>
      </c>
      <c r="Q281">
        <f>IF([@[Type verlof]]="","",IFERROR(XLOOKUP([@Basis_type],tblInstellingen[Basis verloftype],tblInstellingen[Aanvullingsrechtig]),"ONBEKEND"))</f>
        <v/>
      </c>
      <c r="R281">
        <f>IF(OR([@Opbouwjaar]="",[@[Type verlof]]=""),0,IFERROR(INDEX(FILTER(tblAanvulling[Totaalbedrag],(tblAanvulling[Mdw.]=[@[Mdw.]])*(tblAanvulling[Bkjr.]=[@Opbouwjaar]),0),1),0))</f>
        <v/>
      </c>
      <c r="S281">
        <f>IF([@Aanvullingsrechtig]="Ja",[@Beginsaldo]*[@Aanvulling_pu],0)</f>
        <v/>
      </c>
      <c r="T281">
        <f>IF(AND([@Opbouwjaar]&lt;&gt;"",[@Beginsaldo]&lt;&gt;0,OR([@Aanvullingsrechtig]="Ja",[@Aanvullingsrechtig]="Nee")),1,0)</f>
        <v/>
      </c>
    </row>
    <row r="282">
      <c r="O282">
        <f>LET(t,[@[Type verlof]],s,SEQUENCE(MAX(1,LEN(t)-3)),k,IFERROR(--MID(t,s,4),0),g,FILTER(k,(k&gt;=2000)*(k&lt;=2100),""),IFERROR(INDEX(g,1),""))</f>
        <v/>
      </c>
      <c r="P282">
        <f>LET(t,[@[Type verlof]],jj,[@Opbouwjaar],s,IF(jj="",t,SUBSTITUTE(t," "&amp;jj,"")),TRIM(s))</f>
        <v/>
      </c>
      <c r="Q282">
        <f>IF([@[Type verlof]]="","",IFERROR(XLOOKUP([@Basis_type],tblInstellingen[Basis verloftype],tblInstellingen[Aanvullingsrechtig]),"ONBEKEND"))</f>
        <v/>
      </c>
      <c r="R282">
        <f>IF(OR([@Opbouwjaar]="",[@[Type verlof]]=""),0,IFERROR(INDEX(FILTER(tblAanvulling[Totaalbedrag],(tblAanvulling[Mdw.]=[@[Mdw.]])*(tblAanvulling[Bkjr.]=[@Opbouwjaar]),0),1),0))</f>
        <v/>
      </c>
      <c r="S282">
        <f>IF([@Aanvullingsrechtig]="Ja",[@Beginsaldo]*[@Aanvulling_pu],0)</f>
        <v/>
      </c>
      <c r="T282">
        <f>IF(AND([@Opbouwjaar]&lt;&gt;"",[@Beginsaldo]&lt;&gt;0,OR([@Aanvullingsrechtig]="Ja",[@Aanvullingsrechtig]="Nee")),1,0)</f>
        <v/>
      </c>
    </row>
    <row r="283">
      <c r="O283">
        <f>LET(t,[@[Type verlof]],s,SEQUENCE(MAX(1,LEN(t)-3)),k,IFERROR(--MID(t,s,4),0),g,FILTER(k,(k&gt;=2000)*(k&lt;=2100),""),IFERROR(INDEX(g,1),""))</f>
        <v/>
      </c>
      <c r="P283">
        <f>LET(t,[@[Type verlof]],jj,[@Opbouwjaar],s,IF(jj="",t,SUBSTITUTE(t," "&amp;jj,"")),TRIM(s))</f>
        <v/>
      </c>
      <c r="Q283">
        <f>IF([@[Type verlof]]="","",IFERROR(XLOOKUP([@Basis_type],tblInstellingen[Basis verloftype],tblInstellingen[Aanvullingsrechtig]),"ONBEKEND"))</f>
        <v/>
      </c>
      <c r="R283">
        <f>IF(OR([@Opbouwjaar]="",[@[Type verlof]]=""),0,IFERROR(INDEX(FILTER(tblAanvulling[Totaalbedrag],(tblAanvulling[Mdw.]=[@[Mdw.]])*(tblAanvulling[Bkjr.]=[@Opbouwjaar]),0),1),0))</f>
        <v/>
      </c>
      <c r="S283">
        <f>IF([@Aanvullingsrechtig]="Ja",[@Beginsaldo]*[@Aanvulling_pu],0)</f>
        <v/>
      </c>
      <c r="T283">
        <f>IF(AND([@Opbouwjaar]&lt;&gt;"",[@Beginsaldo]&lt;&gt;0,OR([@Aanvullingsrechtig]="Ja",[@Aanvullingsrechtig]="Nee")),1,0)</f>
        <v/>
      </c>
    </row>
    <row r="284">
      <c r="O284">
        <f>LET(t,[@[Type verlof]],s,SEQUENCE(MAX(1,LEN(t)-3)),k,IFERROR(--MID(t,s,4),0),g,FILTER(k,(k&gt;=2000)*(k&lt;=2100),""),IFERROR(INDEX(g,1),""))</f>
        <v/>
      </c>
      <c r="P284">
        <f>LET(t,[@[Type verlof]],jj,[@Opbouwjaar],s,IF(jj="",t,SUBSTITUTE(t," "&amp;jj,"")),TRIM(s))</f>
        <v/>
      </c>
      <c r="Q284">
        <f>IF([@[Type verlof]]="","",IFERROR(XLOOKUP([@Basis_type],tblInstellingen[Basis verloftype],tblInstellingen[Aanvullingsrechtig]),"ONBEKEND"))</f>
        <v/>
      </c>
      <c r="R284">
        <f>IF(OR([@Opbouwjaar]="",[@[Type verlof]]=""),0,IFERROR(INDEX(FILTER(tblAanvulling[Totaalbedrag],(tblAanvulling[Mdw.]=[@[Mdw.]])*(tblAanvulling[Bkjr.]=[@Opbouwjaar]),0),1),0))</f>
        <v/>
      </c>
      <c r="S284">
        <f>IF([@Aanvullingsrechtig]="Ja",[@Beginsaldo]*[@Aanvulling_pu],0)</f>
        <v/>
      </c>
      <c r="T284">
        <f>IF(AND([@Opbouwjaar]&lt;&gt;"",[@Beginsaldo]&lt;&gt;0,OR([@Aanvullingsrechtig]="Ja",[@Aanvullingsrechtig]="Nee")),1,0)</f>
        <v/>
      </c>
    </row>
    <row r="285">
      <c r="O285">
        <f>LET(t,[@[Type verlof]],s,SEQUENCE(MAX(1,LEN(t)-3)),k,IFERROR(--MID(t,s,4),0),g,FILTER(k,(k&gt;=2000)*(k&lt;=2100),""),IFERROR(INDEX(g,1),""))</f>
        <v/>
      </c>
      <c r="P285">
        <f>LET(t,[@[Type verlof]],jj,[@Opbouwjaar],s,IF(jj="",t,SUBSTITUTE(t," "&amp;jj,"")),TRIM(s))</f>
        <v/>
      </c>
      <c r="Q285">
        <f>IF([@[Type verlof]]="","",IFERROR(XLOOKUP([@Basis_type],tblInstellingen[Basis verloftype],tblInstellingen[Aanvullingsrechtig]),"ONBEKEND"))</f>
        <v/>
      </c>
      <c r="R285">
        <f>IF(OR([@Opbouwjaar]="",[@[Type verlof]]=""),0,IFERROR(INDEX(FILTER(tblAanvulling[Totaalbedrag],(tblAanvulling[Mdw.]=[@[Mdw.]])*(tblAanvulling[Bkjr.]=[@Opbouwjaar]),0),1),0))</f>
        <v/>
      </c>
      <c r="S285">
        <f>IF([@Aanvullingsrechtig]="Ja",[@Beginsaldo]*[@Aanvulling_pu],0)</f>
        <v/>
      </c>
      <c r="T285">
        <f>IF(AND([@Opbouwjaar]&lt;&gt;"",[@Beginsaldo]&lt;&gt;0,OR([@Aanvullingsrechtig]="Ja",[@Aanvullingsrechtig]="Nee")),1,0)</f>
        <v/>
      </c>
    </row>
    <row r="286">
      <c r="O286">
        <f>LET(t,[@[Type verlof]],s,SEQUENCE(MAX(1,LEN(t)-3)),k,IFERROR(--MID(t,s,4),0),g,FILTER(k,(k&gt;=2000)*(k&lt;=2100),""),IFERROR(INDEX(g,1),""))</f>
        <v/>
      </c>
      <c r="P286">
        <f>LET(t,[@[Type verlof]],jj,[@Opbouwjaar],s,IF(jj="",t,SUBSTITUTE(t," "&amp;jj,"")),TRIM(s))</f>
        <v/>
      </c>
      <c r="Q286">
        <f>IF([@[Type verlof]]="","",IFERROR(XLOOKUP([@Basis_type],tblInstellingen[Basis verloftype],tblInstellingen[Aanvullingsrechtig]),"ONBEKEND"))</f>
        <v/>
      </c>
      <c r="R286">
        <f>IF(OR([@Opbouwjaar]="",[@[Type verlof]]=""),0,IFERROR(INDEX(FILTER(tblAanvulling[Totaalbedrag],(tblAanvulling[Mdw.]=[@[Mdw.]])*(tblAanvulling[Bkjr.]=[@Opbouwjaar]),0),1),0))</f>
        <v/>
      </c>
      <c r="S286">
        <f>IF([@Aanvullingsrechtig]="Ja",[@Beginsaldo]*[@Aanvulling_pu],0)</f>
        <v/>
      </c>
      <c r="T286">
        <f>IF(AND([@Opbouwjaar]&lt;&gt;"",[@Beginsaldo]&lt;&gt;0,OR([@Aanvullingsrechtig]="Ja",[@Aanvullingsrechtig]="Nee")),1,0)</f>
        <v/>
      </c>
    </row>
    <row r="287">
      <c r="O287">
        <f>LET(t,[@[Type verlof]],s,SEQUENCE(MAX(1,LEN(t)-3)),k,IFERROR(--MID(t,s,4),0),g,FILTER(k,(k&gt;=2000)*(k&lt;=2100),""),IFERROR(INDEX(g,1),""))</f>
        <v/>
      </c>
      <c r="P287">
        <f>LET(t,[@[Type verlof]],jj,[@Opbouwjaar],s,IF(jj="",t,SUBSTITUTE(t," "&amp;jj,"")),TRIM(s))</f>
        <v/>
      </c>
      <c r="Q287">
        <f>IF([@[Type verlof]]="","",IFERROR(XLOOKUP([@Basis_type],tblInstellingen[Basis verloftype],tblInstellingen[Aanvullingsrechtig]),"ONBEKEND"))</f>
        <v/>
      </c>
      <c r="R287">
        <f>IF(OR([@Opbouwjaar]="",[@[Type verlof]]=""),0,IFERROR(INDEX(FILTER(tblAanvulling[Totaalbedrag],(tblAanvulling[Mdw.]=[@[Mdw.]])*(tblAanvulling[Bkjr.]=[@Opbouwjaar]),0),1),0))</f>
        <v/>
      </c>
      <c r="S287">
        <f>IF([@Aanvullingsrechtig]="Ja",[@Beginsaldo]*[@Aanvulling_pu],0)</f>
        <v/>
      </c>
      <c r="T287">
        <f>IF(AND([@Opbouwjaar]&lt;&gt;"",[@Beginsaldo]&lt;&gt;0,OR([@Aanvullingsrechtig]="Ja",[@Aanvullingsrechtig]="Nee")),1,0)</f>
        <v/>
      </c>
    </row>
    <row r="288">
      <c r="O288">
        <f>LET(t,[@[Type verlof]],s,SEQUENCE(MAX(1,LEN(t)-3)),k,IFERROR(--MID(t,s,4),0),g,FILTER(k,(k&gt;=2000)*(k&lt;=2100),""),IFERROR(INDEX(g,1),""))</f>
        <v/>
      </c>
      <c r="P288">
        <f>LET(t,[@[Type verlof]],jj,[@Opbouwjaar],s,IF(jj="",t,SUBSTITUTE(t," "&amp;jj,"")),TRIM(s))</f>
        <v/>
      </c>
      <c r="Q288">
        <f>IF([@[Type verlof]]="","",IFERROR(XLOOKUP([@Basis_type],tblInstellingen[Basis verloftype],tblInstellingen[Aanvullingsrechtig]),"ONBEKEND"))</f>
        <v/>
      </c>
      <c r="R288">
        <f>IF(OR([@Opbouwjaar]="",[@[Type verlof]]=""),0,IFERROR(INDEX(FILTER(tblAanvulling[Totaalbedrag],(tblAanvulling[Mdw.]=[@[Mdw.]])*(tblAanvulling[Bkjr.]=[@Opbouwjaar]),0),1),0))</f>
        <v/>
      </c>
      <c r="S288">
        <f>IF([@Aanvullingsrechtig]="Ja",[@Beginsaldo]*[@Aanvulling_pu],0)</f>
        <v/>
      </c>
      <c r="T288">
        <f>IF(AND([@Opbouwjaar]&lt;&gt;"",[@Beginsaldo]&lt;&gt;0,OR([@Aanvullingsrechtig]="Ja",[@Aanvullingsrechtig]="Nee")),1,0)</f>
        <v/>
      </c>
    </row>
    <row r="289">
      <c r="O289">
        <f>LET(t,[@[Type verlof]],s,SEQUENCE(MAX(1,LEN(t)-3)),k,IFERROR(--MID(t,s,4),0),g,FILTER(k,(k&gt;=2000)*(k&lt;=2100),""),IFERROR(INDEX(g,1),""))</f>
        <v/>
      </c>
      <c r="P289">
        <f>LET(t,[@[Type verlof]],jj,[@Opbouwjaar],s,IF(jj="",t,SUBSTITUTE(t," "&amp;jj,"")),TRIM(s))</f>
        <v/>
      </c>
      <c r="Q289">
        <f>IF([@[Type verlof]]="","",IFERROR(XLOOKUP([@Basis_type],tblInstellingen[Basis verloftype],tblInstellingen[Aanvullingsrechtig]),"ONBEKEND"))</f>
        <v/>
      </c>
      <c r="R289">
        <f>IF(OR([@Opbouwjaar]="",[@[Type verlof]]=""),0,IFERROR(INDEX(FILTER(tblAanvulling[Totaalbedrag],(tblAanvulling[Mdw.]=[@[Mdw.]])*(tblAanvulling[Bkjr.]=[@Opbouwjaar]),0),1),0))</f>
        <v/>
      </c>
      <c r="S289">
        <f>IF([@Aanvullingsrechtig]="Ja",[@Beginsaldo]*[@Aanvulling_pu],0)</f>
        <v/>
      </c>
      <c r="T289">
        <f>IF(AND([@Opbouwjaar]&lt;&gt;"",[@Beginsaldo]&lt;&gt;0,OR([@Aanvullingsrechtig]="Ja",[@Aanvullingsrechtig]="Nee")),1,0)</f>
        <v/>
      </c>
    </row>
    <row r="290">
      <c r="O290">
        <f>LET(t,[@[Type verlof]],s,SEQUENCE(MAX(1,LEN(t)-3)),k,IFERROR(--MID(t,s,4),0),g,FILTER(k,(k&gt;=2000)*(k&lt;=2100),""),IFERROR(INDEX(g,1),""))</f>
        <v/>
      </c>
      <c r="P290">
        <f>LET(t,[@[Type verlof]],jj,[@Opbouwjaar],s,IF(jj="",t,SUBSTITUTE(t," "&amp;jj,"")),TRIM(s))</f>
        <v/>
      </c>
      <c r="Q290">
        <f>IF([@[Type verlof]]="","",IFERROR(XLOOKUP([@Basis_type],tblInstellingen[Basis verloftype],tblInstellingen[Aanvullingsrechtig]),"ONBEKEND"))</f>
        <v/>
      </c>
      <c r="R290">
        <f>IF(OR([@Opbouwjaar]="",[@[Type verlof]]=""),0,IFERROR(INDEX(FILTER(tblAanvulling[Totaalbedrag],(tblAanvulling[Mdw.]=[@[Mdw.]])*(tblAanvulling[Bkjr.]=[@Opbouwjaar]),0),1),0))</f>
        <v/>
      </c>
      <c r="S290">
        <f>IF([@Aanvullingsrechtig]="Ja",[@Beginsaldo]*[@Aanvulling_pu],0)</f>
        <v/>
      </c>
      <c r="T290">
        <f>IF(AND([@Opbouwjaar]&lt;&gt;"",[@Beginsaldo]&lt;&gt;0,OR([@Aanvullingsrechtig]="Ja",[@Aanvullingsrechtig]="Nee")),1,0)</f>
        <v/>
      </c>
    </row>
    <row r="291">
      <c r="O291">
        <f>LET(t,[@[Type verlof]],s,SEQUENCE(MAX(1,LEN(t)-3)),k,IFERROR(--MID(t,s,4),0),g,FILTER(k,(k&gt;=2000)*(k&lt;=2100),""),IFERROR(INDEX(g,1),""))</f>
        <v/>
      </c>
      <c r="P291">
        <f>LET(t,[@[Type verlof]],jj,[@Opbouwjaar],s,IF(jj="",t,SUBSTITUTE(t," "&amp;jj,"")),TRIM(s))</f>
        <v/>
      </c>
      <c r="Q291">
        <f>IF([@[Type verlof]]="","",IFERROR(XLOOKUP([@Basis_type],tblInstellingen[Basis verloftype],tblInstellingen[Aanvullingsrechtig]),"ONBEKEND"))</f>
        <v/>
      </c>
      <c r="R291">
        <f>IF(OR([@Opbouwjaar]="",[@[Type verlof]]=""),0,IFERROR(INDEX(FILTER(tblAanvulling[Totaalbedrag],(tblAanvulling[Mdw.]=[@[Mdw.]])*(tblAanvulling[Bkjr.]=[@Opbouwjaar]),0),1),0))</f>
        <v/>
      </c>
      <c r="S291">
        <f>IF([@Aanvullingsrechtig]="Ja",[@Beginsaldo]*[@Aanvulling_pu],0)</f>
        <v/>
      </c>
      <c r="T291">
        <f>IF(AND([@Opbouwjaar]&lt;&gt;"",[@Beginsaldo]&lt;&gt;0,OR([@Aanvullingsrechtig]="Ja",[@Aanvullingsrechtig]="Nee")),1,0)</f>
        <v/>
      </c>
    </row>
    <row r="292">
      <c r="O292">
        <f>LET(t,[@[Type verlof]],s,SEQUENCE(MAX(1,LEN(t)-3)),k,IFERROR(--MID(t,s,4),0),g,FILTER(k,(k&gt;=2000)*(k&lt;=2100),""),IFERROR(INDEX(g,1),""))</f>
        <v/>
      </c>
      <c r="P292">
        <f>LET(t,[@[Type verlof]],jj,[@Opbouwjaar],s,IF(jj="",t,SUBSTITUTE(t," "&amp;jj,"")),TRIM(s))</f>
        <v/>
      </c>
      <c r="Q292">
        <f>IF([@[Type verlof]]="","",IFERROR(XLOOKUP([@Basis_type],tblInstellingen[Basis verloftype],tblInstellingen[Aanvullingsrechtig]),"ONBEKEND"))</f>
        <v/>
      </c>
      <c r="R292">
        <f>IF(OR([@Opbouwjaar]="",[@[Type verlof]]=""),0,IFERROR(INDEX(FILTER(tblAanvulling[Totaalbedrag],(tblAanvulling[Mdw.]=[@[Mdw.]])*(tblAanvulling[Bkjr.]=[@Opbouwjaar]),0),1),0))</f>
        <v/>
      </c>
      <c r="S292">
        <f>IF([@Aanvullingsrechtig]="Ja",[@Beginsaldo]*[@Aanvulling_pu],0)</f>
        <v/>
      </c>
      <c r="T292">
        <f>IF(AND([@Opbouwjaar]&lt;&gt;"",[@Beginsaldo]&lt;&gt;0,OR([@Aanvullingsrechtig]="Ja",[@Aanvullingsrechtig]="Nee")),1,0)</f>
        <v/>
      </c>
    </row>
    <row r="293">
      <c r="O293">
        <f>LET(t,[@[Type verlof]],s,SEQUENCE(MAX(1,LEN(t)-3)),k,IFERROR(--MID(t,s,4),0),g,FILTER(k,(k&gt;=2000)*(k&lt;=2100),""),IFERROR(INDEX(g,1),""))</f>
        <v/>
      </c>
      <c r="P293">
        <f>LET(t,[@[Type verlof]],jj,[@Opbouwjaar],s,IF(jj="",t,SUBSTITUTE(t," "&amp;jj,"")),TRIM(s))</f>
        <v/>
      </c>
      <c r="Q293">
        <f>IF([@[Type verlof]]="","",IFERROR(XLOOKUP([@Basis_type],tblInstellingen[Basis verloftype],tblInstellingen[Aanvullingsrechtig]),"ONBEKEND"))</f>
        <v/>
      </c>
      <c r="R293">
        <f>IF(OR([@Opbouwjaar]="",[@[Type verlof]]=""),0,IFERROR(INDEX(FILTER(tblAanvulling[Totaalbedrag],(tblAanvulling[Mdw.]=[@[Mdw.]])*(tblAanvulling[Bkjr.]=[@Opbouwjaar]),0),1),0))</f>
        <v/>
      </c>
      <c r="S293">
        <f>IF([@Aanvullingsrechtig]="Ja",[@Beginsaldo]*[@Aanvulling_pu],0)</f>
        <v/>
      </c>
      <c r="T293">
        <f>IF(AND([@Opbouwjaar]&lt;&gt;"",[@Beginsaldo]&lt;&gt;0,OR([@Aanvullingsrechtig]="Ja",[@Aanvullingsrechtig]="Nee")),1,0)</f>
        <v/>
      </c>
    </row>
    <row r="294">
      <c r="O294">
        <f>LET(t,[@[Type verlof]],s,SEQUENCE(MAX(1,LEN(t)-3)),k,IFERROR(--MID(t,s,4),0),g,FILTER(k,(k&gt;=2000)*(k&lt;=2100),""),IFERROR(INDEX(g,1),""))</f>
        <v/>
      </c>
      <c r="P294">
        <f>LET(t,[@[Type verlof]],jj,[@Opbouwjaar],s,IF(jj="",t,SUBSTITUTE(t," "&amp;jj,"")),TRIM(s))</f>
        <v/>
      </c>
      <c r="Q294">
        <f>IF([@[Type verlof]]="","",IFERROR(XLOOKUP([@Basis_type],tblInstellingen[Basis verloftype],tblInstellingen[Aanvullingsrechtig]),"ONBEKEND"))</f>
        <v/>
      </c>
      <c r="R294">
        <f>IF(OR([@Opbouwjaar]="",[@[Type verlof]]=""),0,IFERROR(INDEX(FILTER(tblAanvulling[Totaalbedrag],(tblAanvulling[Mdw.]=[@[Mdw.]])*(tblAanvulling[Bkjr.]=[@Opbouwjaar]),0),1),0))</f>
        <v/>
      </c>
      <c r="S294">
        <f>IF([@Aanvullingsrechtig]="Ja",[@Beginsaldo]*[@Aanvulling_pu],0)</f>
        <v/>
      </c>
      <c r="T294">
        <f>IF(AND([@Opbouwjaar]&lt;&gt;"",[@Beginsaldo]&lt;&gt;0,OR([@Aanvullingsrechtig]="Ja",[@Aanvullingsrechtig]="Nee")),1,0)</f>
        <v/>
      </c>
    </row>
    <row r="295">
      <c r="O295">
        <f>LET(t,[@[Type verlof]],s,SEQUENCE(MAX(1,LEN(t)-3)),k,IFERROR(--MID(t,s,4),0),g,FILTER(k,(k&gt;=2000)*(k&lt;=2100),""),IFERROR(INDEX(g,1),""))</f>
        <v/>
      </c>
      <c r="P295">
        <f>LET(t,[@[Type verlof]],jj,[@Opbouwjaar],s,IF(jj="",t,SUBSTITUTE(t," "&amp;jj,"")),TRIM(s))</f>
        <v/>
      </c>
      <c r="Q295">
        <f>IF([@[Type verlof]]="","",IFERROR(XLOOKUP([@Basis_type],tblInstellingen[Basis verloftype],tblInstellingen[Aanvullingsrechtig]),"ONBEKEND"))</f>
        <v/>
      </c>
      <c r="R295">
        <f>IF(OR([@Opbouwjaar]="",[@[Type verlof]]=""),0,IFERROR(INDEX(FILTER(tblAanvulling[Totaalbedrag],(tblAanvulling[Mdw.]=[@[Mdw.]])*(tblAanvulling[Bkjr.]=[@Opbouwjaar]),0),1),0))</f>
        <v/>
      </c>
      <c r="S295">
        <f>IF([@Aanvullingsrechtig]="Ja",[@Beginsaldo]*[@Aanvulling_pu],0)</f>
        <v/>
      </c>
      <c r="T295">
        <f>IF(AND([@Opbouwjaar]&lt;&gt;"",[@Beginsaldo]&lt;&gt;0,OR([@Aanvullingsrechtig]="Ja",[@Aanvullingsrechtig]="Nee")),1,0)</f>
        <v/>
      </c>
    </row>
    <row r="296">
      <c r="O296">
        <f>LET(t,[@[Type verlof]],s,SEQUENCE(MAX(1,LEN(t)-3)),k,IFERROR(--MID(t,s,4),0),g,FILTER(k,(k&gt;=2000)*(k&lt;=2100),""),IFERROR(INDEX(g,1),""))</f>
        <v/>
      </c>
      <c r="P296">
        <f>LET(t,[@[Type verlof]],jj,[@Opbouwjaar],s,IF(jj="",t,SUBSTITUTE(t," "&amp;jj,"")),TRIM(s))</f>
        <v/>
      </c>
      <c r="Q296">
        <f>IF([@[Type verlof]]="","",IFERROR(XLOOKUP([@Basis_type],tblInstellingen[Basis verloftype],tblInstellingen[Aanvullingsrechtig]),"ONBEKEND"))</f>
        <v/>
      </c>
      <c r="R296">
        <f>IF(OR([@Opbouwjaar]="",[@[Type verlof]]=""),0,IFERROR(INDEX(FILTER(tblAanvulling[Totaalbedrag],(tblAanvulling[Mdw.]=[@[Mdw.]])*(tblAanvulling[Bkjr.]=[@Opbouwjaar]),0),1),0))</f>
        <v/>
      </c>
      <c r="S296">
        <f>IF([@Aanvullingsrechtig]="Ja",[@Beginsaldo]*[@Aanvulling_pu],0)</f>
        <v/>
      </c>
      <c r="T296">
        <f>IF(AND([@Opbouwjaar]&lt;&gt;"",[@Beginsaldo]&lt;&gt;0,OR([@Aanvullingsrechtig]="Ja",[@Aanvullingsrechtig]="Nee")),1,0)</f>
        <v/>
      </c>
    </row>
    <row r="297">
      <c r="O297">
        <f>LET(t,[@[Type verlof]],s,SEQUENCE(MAX(1,LEN(t)-3)),k,IFERROR(--MID(t,s,4),0),g,FILTER(k,(k&gt;=2000)*(k&lt;=2100),""),IFERROR(INDEX(g,1),""))</f>
        <v/>
      </c>
      <c r="P297">
        <f>LET(t,[@[Type verlof]],jj,[@Opbouwjaar],s,IF(jj="",t,SUBSTITUTE(t," "&amp;jj,"")),TRIM(s))</f>
        <v/>
      </c>
      <c r="Q297">
        <f>IF([@[Type verlof]]="","",IFERROR(XLOOKUP([@Basis_type],tblInstellingen[Basis verloftype],tblInstellingen[Aanvullingsrechtig]),"ONBEKEND"))</f>
        <v/>
      </c>
      <c r="R297">
        <f>IF(OR([@Opbouwjaar]="",[@[Type verlof]]=""),0,IFERROR(INDEX(FILTER(tblAanvulling[Totaalbedrag],(tblAanvulling[Mdw.]=[@[Mdw.]])*(tblAanvulling[Bkjr.]=[@Opbouwjaar]),0),1),0))</f>
        <v/>
      </c>
      <c r="S297">
        <f>IF([@Aanvullingsrechtig]="Ja",[@Beginsaldo]*[@Aanvulling_pu],0)</f>
        <v/>
      </c>
      <c r="T297">
        <f>IF(AND([@Opbouwjaar]&lt;&gt;"",[@Beginsaldo]&lt;&gt;0,OR([@Aanvullingsrechtig]="Ja",[@Aanvullingsrechtig]="Nee")),1,0)</f>
        <v/>
      </c>
    </row>
    <row r="298">
      <c r="O298">
        <f>LET(t,[@[Type verlof]],s,SEQUENCE(MAX(1,LEN(t)-3)),k,IFERROR(--MID(t,s,4),0),g,FILTER(k,(k&gt;=2000)*(k&lt;=2100),""),IFERROR(INDEX(g,1),""))</f>
        <v/>
      </c>
      <c r="P298">
        <f>LET(t,[@[Type verlof]],jj,[@Opbouwjaar],s,IF(jj="",t,SUBSTITUTE(t," "&amp;jj,"")),TRIM(s))</f>
        <v/>
      </c>
      <c r="Q298">
        <f>IF([@[Type verlof]]="","",IFERROR(XLOOKUP([@Basis_type],tblInstellingen[Basis verloftype],tblInstellingen[Aanvullingsrechtig]),"ONBEKEND"))</f>
        <v/>
      </c>
      <c r="R298">
        <f>IF(OR([@Opbouwjaar]="",[@[Type verlof]]=""),0,IFERROR(INDEX(FILTER(tblAanvulling[Totaalbedrag],(tblAanvulling[Mdw.]=[@[Mdw.]])*(tblAanvulling[Bkjr.]=[@Opbouwjaar]),0),1),0))</f>
        <v/>
      </c>
      <c r="S298">
        <f>IF([@Aanvullingsrechtig]="Ja",[@Beginsaldo]*[@Aanvulling_pu],0)</f>
        <v/>
      </c>
      <c r="T298">
        <f>IF(AND([@Opbouwjaar]&lt;&gt;"",[@Beginsaldo]&lt;&gt;0,OR([@Aanvullingsrechtig]="Ja",[@Aanvullingsrechtig]="Nee")),1,0)</f>
        <v/>
      </c>
    </row>
    <row r="299">
      <c r="O299">
        <f>LET(t,[@[Type verlof]],s,SEQUENCE(MAX(1,LEN(t)-3)),k,IFERROR(--MID(t,s,4),0),g,FILTER(k,(k&gt;=2000)*(k&lt;=2100),""),IFERROR(INDEX(g,1),""))</f>
        <v/>
      </c>
      <c r="P299">
        <f>LET(t,[@[Type verlof]],jj,[@Opbouwjaar],s,IF(jj="",t,SUBSTITUTE(t," "&amp;jj,"")),TRIM(s))</f>
        <v/>
      </c>
      <c r="Q299">
        <f>IF([@[Type verlof]]="","",IFERROR(XLOOKUP([@Basis_type],tblInstellingen[Basis verloftype],tblInstellingen[Aanvullingsrechtig]),"ONBEKEND"))</f>
        <v/>
      </c>
      <c r="R299">
        <f>IF(OR([@Opbouwjaar]="",[@[Type verlof]]=""),0,IFERROR(INDEX(FILTER(tblAanvulling[Totaalbedrag],(tblAanvulling[Mdw.]=[@[Mdw.]])*(tblAanvulling[Bkjr.]=[@Opbouwjaar]),0),1),0))</f>
        <v/>
      </c>
      <c r="S299">
        <f>IF([@Aanvullingsrechtig]="Ja",[@Beginsaldo]*[@Aanvulling_pu],0)</f>
        <v/>
      </c>
      <c r="T299">
        <f>IF(AND([@Opbouwjaar]&lt;&gt;"",[@Beginsaldo]&lt;&gt;0,OR([@Aanvullingsrechtig]="Ja",[@Aanvullingsrechtig]="Nee")),1,0)</f>
        <v/>
      </c>
    </row>
    <row r="300">
      <c r="O300">
        <f>LET(t,[@[Type verlof]],s,SEQUENCE(MAX(1,LEN(t)-3)),k,IFERROR(--MID(t,s,4),0),g,FILTER(k,(k&gt;=2000)*(k&lt;=2100),""),IFERROR(INDEX(g,1),""))</f>
        <v/>
      </c>
      <c r="P300">
        <f>LET(t,[@[Type verlof]],jj,[@Opbouwjaar],s,IF(jj="",t,SUBSTITUTE(t," "&amp;jj,"")),TRIM(s))</f>
        <v/>
      </c>
      <c r="Q300">
        <f>IF([@[Type verlof]]="","",IFERROR(XLOOKUP([@Basis_type],tblInstellingen[Basis verloftype],tblInstellingen[Aanvullingsrechtig]),"ONBEKEND"))</f>
        <v/>
      </c>
      <c r="R300">
        <f>IF(OR([@Opbouwjaar]="",[@[Type verlof]]=""),0,IFERROR(INDEX(FILTER(tblAanvulling[Totaalbedrag],(tblAanvulling[Mdw.]=[@[Mdw.]])*(tblAanvulling[Bkjr.]=[@Opbouwjaar]),0),1),0))</f>
        <v/>
      </c>
      <c r="S300">
        <f>IF([@Aanvullingsrechtig]="Ja",[@Beginsaldo]*[@Aanvulling_pu],0)</f>
        <v/>
      </c>
      <c r="T300">
        <f>IF(AND([@Opbouwjaar]&lt;&gt;"",[@Beginsaldo]&lt;&gt;0,OR([@Aanvullingsrechtig]="Ja",[@Aanvullingsrechtig]="Nee")),1,0)</f>
        <v/>
      </c>
    </row>
    <row r="301">
      <c r="O301">
        <f>LET(t,[@[Type verlof]],s,SEQUENCE(MAX(1,LEN(t)-3)),k,IFERROR(--MID(t,s,4),0),g,FILTER(k,(k&gt;=2000)*(k&lt;=2100),""),IFERROR(INDEX(g,1),""))</f>
        <v/>
      </c>
      <c r="P301">
        <f>LET(t,[@[Type verlof]],jj,[@Opbouwjaar],s,IF(jj="",t,SUBSTITUTE(t," "&amp;jj,"")),TRIM(s))</f>
        <v/>
      </c>
      <c r="Q301">
        <f>IF([@[Type verlof]]="","",IFERROR(XLOOKUP([@Basis_type],tblInstellingen[Basis verloftype],tblInstellingen[Aanvullingsrechtig]),"ONBEKEND"))</f>
        <v/>
      </c>
      <c r="R301">
        <f>IF(OR([@Opbouwjaar]="",[@[Type verlof]]=""),0,IFERROR(INDEX(FILTER(tblAanvulling[Totaalbedrag],(tblAanvulling[Mdw.]=[@[Mdw.]])*(tblAanvulling[Bkjr.]=[@Opbouwjaar]),0),1),0))</f>
        <v/>
      </c>
      <c r="S301">
        <f>IF([@Aanvullingsrechtig]="Ja",[@Beginsaldo]*[@Aanvulling_pu],0)</f>
        <v/>
      </c>
      <c r="T301">
        <f>IF(AND([@Opbouwjaar]&lt;&gt;"",[@Beginsaldo]&lt;&gt;0,OR([@Aanvullingsrechtig]="Ja",[@Aanvullingsrechtig]="Nee")),1,0)</f>
        <v/>
      </c>
    </row>
    <row r="302">
      <c r="O302">
        <f>LET(t,[@[Type verlof]],s,SEQUENCE(MAX(1,LEN(t)-3)),k,IFERROR(--MID(t,s,4),0),g,FILTER(k,(k&gt;=2000)*(k&lt;=2100),""),IFERROR(INDEX(g,1),""))</f>
        <v/>
      </c>
      <c r="P302">
        <f>LET(t,[@[Type verlof]],jj,[@Opbouwjaar],s,IF(jj="",t,SUBSTITUTE(t," "&amp;jj,"")),TRIM(s))</f>
        <v/>
      </c>
      <c r="Q302">
        <f>IF([@[Type verlof]]="","",IFERROR(XLOOKUP([@Basis_type],tblInstellingen[Basis verloftype],tblInstellingen[Aanvullingsrechtig]),"ONBEKEND"))</f>
        <v/>
      </c>
      <c r="R302">
        <f>IF(OR([@Opbouwjaar]="",[@[Type verlof]]=""),0,IFERROR(INDEX(FILTER(tblAanvulling[Totaalbedrag],(tblAanvulling[Mdw.]=[@[Mdw.]])*(tblAanvulling[Bkjr.]=[@Opbouwjaar]),0),1),0))</f>
        <v/>
      </c>
      <c r="S302">
        <f>IF([@Aanvullingsrechtig]="Ja",[@Beginsaldo]*[@Aanvulling_pu],0)</f>
        <v/>
      </c>
      <c r="T302">
        <f>IF(AND([@Opbouwjaar]&lt;&gt;"",[@Beginsaldo]&lt;&gt;0,OR([@Aanvullingsrechtig]="Ja",[@Aanvullingsrechtig]="Nee")),1,0)</f>
        <v/>
      </c>
    </row>
    <row r="303">
      <c r="O303">
        <f>LET(t,[@[Type verlof]],s,SEQUENCE(MAX(1,LEN(t)-3)),k,IFERROR(--MID(t,s,4),0),g,FILTER(k,(k&gt;=2000)*(k&lt;=2100),""),IFERROR(INDEX(g,1),""))</f>
        <v/>
      </c>
      <c r="P303">
        <f>LET(t,[@[Type verlof]],jj,[@Opbouwjaar],s,IF(jj="",t,SUBSTITUTE(t," "&amp;jj,"")),TRIM(s))</f>
        <v/>
      </c>
      <c r="Q303">
        <f>IF([@[Type verlof]]="","",IFERROR(XLOOKUP([@Basis_type],tblInstellingen[Basis verloftype],tblInstellingen[Aanvullingsrechtig]),"ONBEKEND"))</f>
        <v/>
      </c>
      <c r="R303">
        <f>IF(OR([@Opbouwjaar]="",[@[Type verlof]]=""),0,IFERROR(INDEX(FILTER(tblAanvulling[Totaalbedrag],(tblAanvulling[Mdw.]=[@[Mdw.]])*(tblAanvulling[Bkjr.]=[@Opbouwjaar]),0),1),0))</f>
        <v/>
      </c>
      <c r="S303">
        <f>IF([@Aanvullingsrechtig]="Ja",[@Beginsaldo]*[@Aanvulling_pu],0)</f>
        <v/>
      </c>
      <c r="T303">
        <f>IF(AND([@Opbouwjaar]&lt;&gt;"",[@Beginsaldo]&lt;&gt;0,OR([@Aanvullingsrechtig]="Ja",[@Aanvullingsrechtig]="Nee")),1,0)</f>
        <v/>
      </c>
    </row>
    <row r="304">
      <c r="O304">
        <f>LET(t,[@[Type verlof]],s,SEQUENCE(MAX(1,LEN(t)-3)),k,IFERROR(--MID(t,s,4),0),g,FILTER(k,(k&gt;=2000)*(k&lt;=2100),""),IFERROR(INDEX(g,1),""))</f>
        <v/>
      </c>
      <c r="P304">
        <f>LET(t,[@[Type verlof]],jj,[@Opbouwjaar],s,IF(jj="",t,SUBSTITUTE(t," "&amp;jj,"")),TRIM(s))</f>
        <v/>
      </c>
      <c r="Q304">
        <f>IF([@[Type verlof]]="","",IFERROR(XLOOKUP([@Basis_type],tblInstellingen[Basis verloftype],tblInstellingen[Aanvullingsrechtig]),"ONBEKEND"))</f>
        <v/>
      </c>
      <c r="R304">
        <f>IF(OR([@Opbouwjaar]="",[@[Type verlof]]=""),0,IFERROR(INDEX(FILTER(tblAanvulling[Totaalbedrag],(tblAanvulling[Mdw.]=[@[Mdw.]])*(tblAanvulling[Bkjr.]=[@Opbouwjaar]),0),1),0))</f>
        <v/>
      </c>
      <c r="S304">
        <f>IF([@Aanvullingsrechtig]="Ja",[@Beginsaldo]*[@Aanvulling_pu],0)</f>
        <v/>
      </c>
      <c r="T304">
        <f>IF(AND([@Opbouwjaar]&lt;&gt;"",[@Beginsaldo]&lt;&gt;0,OR([@Aanvullingsrechtig]="Ja",[@Aanvullingsrechtig]="Nee")),1,0)</f>
        <v/>
      </c>
    </row>
    <row r="305">
      <c r="O305">
        <f>LET(t,[@[Type verlof]],s,SEQUENCE(MAX(1,LEN(t)-3)),k,IFERROR(--MID(t,s,4),0),g,FILTER(k,(k&gt;=2000)*(k&lt;=2100),""),IFERROR(INDEX(g,1),""))</f>
        <v/>
      </c>
      <c r="P305">
        <f>LET(t,[@[Type verlof]],jj,[@Opbouwjaar],s,IF(jj="",t,SUBSTITUTE(t," "&amp;jj,"")),TRIM(s))</f>
        <v/>
      </c>
      <c r="Q305">
        <f>IF([@[Type verlof]]="","",IFERROR(XLOOKUP([@Basis_type],tblInstellingen[Basis verloftype],tblInstellingen[Aanvullingsrechtig]),"ONBEKEND"))</f>
        <v/>
      </c>
      <c r="R305">
        <f>IF(OR([@Opbouwjaar]="",[@[Type verlof]]=""),0,IFERROR(INDEX(FILTER(tblAanvulling[Totaalbedrag],(tblAanvulling[Mdw.]=[@[Mdw.]])*(tblAanvulling[Bkjr.]=[@Opbouwjaar]),0),1),0))</f>
        <v/>
      </c>
      <c r="S305">
        <f>IF([@Aanvullingsrechtig]="Ja",[@Beginsaldo]*[@Aanvulling_pu],0)</f>
        <v/>
      </c>
      <c r="T305">
        <f>IF(AND([@Opbouwjaar]&lt;&gt;"",[@Beginsaldo]&lt;&gt;0,OR([@Aanvullingsrechtig]="Ja",[@Aanvullingsrechtig]="Nee")),1,0)</f>
        <v/>
      </c>
    </row>
    <row r="306">
      <c r="O306">
        <f>LET(t,[@[Type verlof]],s,SEQUENCE(MAX(1,LEN(t)-3)),k,IFERROR(--MID(t,s,4),0),g,FILTER(k,(k&gt;=2000)*(k&lt;=2100),""),IFERROR(INDEX(g,1),""))</f>
        <v/>
      </c>
      <c r="P306">
        <f>LET(t,[@[Type verlof]],jj,[@Opbouwjaar],s,IF(jj="",t,SUBSTITUTE(t," "&amp;jj,"")),TRIM(s))</f>
        <v/>
      </c>
      <c r="Q306">
        <f>IF([@[Type verlof]]="","",IFERROR(XLOOKUP([@Basis_type],tblInstellingen[Basis verloftype],tblInstellingen[Aanvullingsrechtig]),"ONBEKEND"))</f>
        <v/>
      </c>
      <c r="R306">
        <f>IF(OR([@Opbouwjaar]="",[@[Type verlof]]=""),0,IFERROR(INDEX(FILTER(tblAanvulling[Totaalbedrag],(tblAanvulling[Mdw.]=[@[Mdw.]])*(tblAanvulling[Bkjr.]=[@Opbouwjaar]),0),1),0))</f>
        <v/>
      </c>
      <c r="S306">
        <f>IF([@Aanvullingsrechtig]="Ja",[@Beginsaldo]*[@Aanvulling_pu],0)</f>
        <v/>
      </c>
      <c r="T306">
        <f>IF(AND([@Opbouwjaar]&lt;&gt;"",[@Beginsaldo]&lt;&gt;0,OR([@Aanvullingsrechtig]="Ja",[@Aanvullingsrechtig]="Nee")),1,0)</f>
        <v/>
      </c>
    </row>
    <row r="307">
      <c r="O307">
        <f>LET(t,[@[Type verlof]],s,SEQUENCE(MAX(1,LEN(t)-3)),k,IFERROR(--MID(t,s,4),0),g,FILTER(k,(k&gt;=2000)*(k&lt;=2100),""),IFERROR(INDEX(g,1),""))</f>
        <v/>
      </c>
      <c r="P307">
        <f>LET(t,[@[Type verlof]],jj,[@Opbouwjaar],s,IF(jj="",t,SUBSTITUTE(t," "&amp;jj,"")),TRIM(s))</f>
        <v/>
      </c>
      <c r="Q307">
        <f>IF([@[Type verlof]]="","",IFERROR(XLOOKUP([@Basis_type],tblInstellingen[Basis verloftype],tblInstellingen[Aanvullingsrechtig]),"ONBEKEND"))</f>
        <v/>
      </c>
      <c r="R307">
        <f>IF(OR([@Opbouwjaar]="",[@[Type verlof]]=""),0,IFERROR(INDEX(FILTER(tblAanvulling[Totaalbedrag],(tblAanvulling[Mdw.]=[@[Mdw.]])*(tblAanvulling[Bkjr.]=[@Opbouwjaar]),0),1),0))</f>
        <v/>
      </c>
      <c r="S307">
        <f>IF([@Aanvullingsrechtig]="Ja",[@Beginsaldo]*[@Aanvulling_pu],0)</f>
        <v/>
      </c>
      <c r="T307">
        <f>IF(AND([@Opbouwjaar]&lt;&gt;"",[@Beginsaldo]&lt;&gt;0,OR([@Aanvullingsrechtig]="Ja",[@Aanvullingsrechtig]="Nee")),1,0)</f>
        <v/>
      </c>
    </row>
    <row r="308">
      <c r="O308">
        <f>LET(t,[@[Type verlof]],s,SEQUENCE(MAX(1,LEN(t)-3)),k,IFERROR(--MID(t,s,4),0),g,FILTER(k,(k&gt;=2000)*(k&lt;=2100),""),IFERROR(INDEX(g,1),""))</f>
        <v/>
      </c>
      <c r="P308">
        <f>LET(t,[@[Type verlof]],jj,[@Opbouwjaar],s,IF(jj="",t,SUBSTITUTE(t," "&amp;jj,"")),TRIM(s))</f>
        <v/>
      </c>
      <c r="Q308">
        <f>IF([@[Type verlof]]="","",IFERROR(XLOOKUP([@Basis_type],tblInstellingen[Basis verloftype],tblInstellingen[Aanvullingsrechtig]),"ONBEKEND"))</f>
        <v/>
      </c>
      <c r="R308">
        <f>IF(OR([@Opbouwjaar]="",[@[Type verlof]]=""),0,IFERROR(INDEX(FILTER(tblAanvulling[Totaalbedrag],(tblAanvulling[Mdw.]=[@[Mdw.]])*(tblAanvulling[Bkjr.]=[@Opbouwjaar]),0),1),0))</f>
        <v/>
      </c>
      <c r="S308">
        <f>IF([@Aanvullingsrechtig]="Ja",[@Beginsaldo]*[@Aanvulling_pu],0)</f>
        <v/>
      </c>
      <c r="T308">
        <f>IF(AND([@Opbouwjaar]&lt;&gt;"",[@Beginsaldo]&lt;&gt;0,OR([@Aanvullingsrechtig]="Ja",[@Aanvullingsrechtig]="Nee")),1,0)</f>
        <v/>
      </c>
    </row>
    <row r="309">
      <c r="O309">
        <f>LET(t,[@[Type verlof]],s,SEQUENCE(MAX(1,LEN(t)-3)),k,IFERROR(--MID(t,s,4),0),g,FILTER(k,(k&gt;=2000)*(k&lt;=2100),""),IFERROR(INDEX(g,1),""))</f>
        <v/>
      </c>
      <c r="P309">
        <f>LET(t,[@[Type verlof]],jj,[@Opbouwjaar],s,IF(jj="",t,SUBSTITUTE(t," "&amp;jj,"")),TRIM(s))</f>
        <v/>
      </c>
      <c r="Q309">
        <f>IF([@[Type verlof]]="","",IFERROR(XLOOKUP([@Basis_type],tblInstellingen[Basis verloftype],tblInstellingen[Aanvullingsrechtig]),"ONBEKEND"))</f>
        <v/>
      </c>
      <c r="R309">
        <f>IF(OR([@Opbouwjaar]="",[@[Type verlof]]=""),0,IFERROR(INDEX(FILTER(tblAanvulling[Totaalbedrag],(tblAanvulling[Mdw.]=[@[Mdw.]])*(tblAanvulling[Bkjr.]=[@Opbouwjaar]),0),1),0))</f>
        <v/>
      </c>
      <c r="S309">
        <f>IF([@Aanvullingsrechtig]="Ja",[@Beginsaldo]*[@Aanvulling_pu],0)</f>
        <v/>
      </c>
      <c r="T309">
        <f>IF(AND([@Opbouwjaar]&lt;&gt;"",[@Beginsaldo]&lt;&gt;0,OR([@Aanvullingsrechtig]="Ja",[@Aanvullingsrechtig]="Nee")),1,0)</f>
        <v/>
      </c>
    </row>
    <row r="310">
      <c r="O310">
        <f>LET(t,[@[Type verlof]],s,SEQUENCE(MAX(1,LEN(t)-3)),k,IFERROR(--MID(t,s,4),0),g,FILTER(k,(k&gt;=2000)*(k&lt;=2100),""),IFERROR(INDEX(g,1),""))</f>
        <v/>
      </c>
      <c r="P310">
        <f>LET(t,[@[Type verlof]],jj,[@Opbouwjaar],s,IF(jj="",t,SUBSTITUTE(t," "&amp;jj,"")),TRIM(s))</f>
        <v/>
      </c>
      <c r="Q310">
        <f>IF([@[Type verlof]]="","",IFERROR(XLOOKUP([@Basis_type],tblInstellingen[Basis verloftype],tblInstellingen[Aanvullingsrechtig]),"ONBEKEND"))</f>
        <v/>
      </c>
      <c r="R310">
        <f>IF(OR([@Opbouwjaar]="",[@[Type verlof]]=""),0,IFERROR(INDEX(FILTER(tblAanvulling[Totaalbedrag],(tblAanvulling[Mdw.]=[@[Mdw.]])*(tblAanvulling[Bkjr.]=[@Opbouwjaar]),0),1),0))</f>
        <v/>
      </c>
      <c r="S310">
        <f>IF([@Aanvullingsrechtig]="Ja",[@Beginsaldo]*[@Aanvulling_pu],0)</f>
        <v/>
      </c>
      <c r="T310">
        <f>IF(AND([@Opbouwjaar]&lt;&gt;"",[@Beginsaldo]&lt;&gt;0,OR([@Aanvullingsrechtig]="Ja",[@Aanvullingsrechtig]="Nee")),1,0)</f>
        <v/>
      </c>
    </row>
    <row r="311">
      <c r="O311">
        <f>LET(t,[@[Type verlof]],s,SEQUENCE(MAX(1,LEN(t)-3)),k,IFERROR(--MID(t,s,4),0),g,FILTER(k,(k&gt;=2000)*(k&lt;=2100),""),IFERROR(INDEX(g,1),""))</f>
        <v/>
      </c>
      <c r="P311">
        <f>LET(t,[@[Type verlof]],jj,[@Opbouwjaar],s,IF(jj="",t,SUBSTITUTE(t," "&amp;jj,"")),TRIM(s))</f>
        <v/>
      </c>
      <c r="Q311">
        <f>IF([@[Type verlof]]="","",IFERROR(XLOOKUP([@Basis_type],tblInstellingen[Basis verloftype],tblInstellingen[Aanvullingsrechtig]),"ONBEKEND"))</f>
        <v/>
      </c>
      <c r="R311">
        <f>IF(OR([@Opbouwjaar]="",[@[Type verlof]]=""),0,IFERROR(INDEX(FILTER(tblAanvulling[Totaalbedrag],(tblAanvulling[Mdw.]=[@[Mdw.]])*(tblAanvulling[Bkjr.]=[@Opbouwjaar]),0),1),0))</f>
        <v/>
      </c>
      <c r="S311">
        <f>IF([@Aanvullingsrechtig]="Ja",[@Beginsaldo]*[@Aanvulling_pu],0)</f>
        <v/>
      </c>
      <c r="T311">
        <f>IF(AND([@Opbouwjaar]&lt;&gt;"",[@Beginsaldo]&lt;&gt;0,OR([@Aanvullingsrechtig]="Ja",[@Aanvullingsrechtig]="Nee")),1,0)</f>
        <v/>
      </c>
    </row>
    <row r="312">
      <c r="O312">
        <f>LET(t,[@[Type verlof]],s,SEQUENCE(MAX(1,LEN(t)-3)),k,IFERROR(--MID(t,s,4),0),g,FILTER(k,(k&gt;=2000)*(k&lt;=2100),""),IFERROR(INDEX(g,1),""))</f>
        <v/>
      </c>
      <c r="P312">
        <f>LET(t,[@[Type verlof]],jj,[@Opbouwjaar],s,IF(jj="",t,SUBSTITUTE(t," "&amp;jj,"")),TRIM(s))</f>
        <v/>
      </c>
      <c r="Q312">
        <f>IF([@[Type verlof]]="","",IFERROR(XLOOKUP([@Basis_type],tblInstellingen[Basis verloftype],tblInstellingen[Aanvullingsrechtig]),"ONBEKEND"))</f>
        <v/>
      </c>
      <c r="R312">
        <f>IF(OR([@Opbouwjaar]="",[@[Type verlof]]=""),0,IFERROR(INDEX(FILTER(tblAanvulling[Totaalbedrag],(tblAanvulling[Mdw.]=[@[Mdw.]])*(tblAanvulling[Bkjr.]=[@Opbouwjaar]),0),1),0))</f>
        <v/>
      </c>
      <c r="S312">
        <f>IF([@Aanvullingsrechtig]="Ja",[@Beginsaldo]*[@Aanvulling_pu],0)</f>
        <v/>
      </c>
      <c r="T312">
        <f>IF(AND([@Opbouwjaar]&lt;&gt;"",[@Beginsaldo]&lt;&gt;0,OR([@Aanvullingsrechtig]="Ja",[@Aanvullingsrechtig]="Nee")),1,0)</f>
        <v/>
      </c>
    </row>
    <row r="313">
      <c r="O313">
        <f>LET(t,[@[Type verlof]],s,SEQUENCE(MAX(1,LEN(t)-3)),k,IFERROR(--MID(t,s,4),0),g,FILTER(k,(k&gt;=2000)*(k&lt;=2100),""),IFERROR(INDEX(g,1),""))</f>
        <v/>
      </c>
      <c r="P313">
        <f>LET(t,[@[Type verlof]],jj,[@Opbouwjaar],s,IF(jj="",t,SUBSTITUTE(t," "&amp;jj,"")),TRIM(s))</f>
        <v/>
      </c>
      <c r="Q313">
        <f>IF([@[Type verlof]]="","",IFERROR(XLOOKUP([@Basis_type],tblInstellingen[Basis verloftype],tblInstellingen[Aanvullingsrechtig]),"ONBEKEND"))</f>
        <v/>
      </c>
      <c r="R313">
        <f>IF(OR([@Opbouwjaar]="",[@[Type verlof]]=""),0,IFERROR(INDEX(FILTER(tblAanvulling[Totaalbedrag],(tblAanvulling[Mdw.]=[@[Mdw.]])*(tblAanvulling[Bkjr.]=[@Opbouwjaar]),0),1),0))</f>
        <v/>
      </c>
      <c r="S313">
        <f>IF([@Aanvullingsrechtig]="Ja",[@Beginsaldo]*[@Aanvulling_pu],0)</f>
        <v/>
      </c>
      <c r="T313">
        <f>IF(AND([@Opbouwjaar]&lt;&gt;"",[@Beginsaldo]&lt;&gt;0,OR([@Aanvullingsrechtig]="Ja",[@Aanvullingsrechtig]="Nee")),1,0)</f>
        <v/>
      </c>
    </row>
    <row r="314">
      <c r="O314">
        <f>LET(t,[@[Type verlof]],s,SEQUENCE(MAX(1,LEN(t)-3)),k,IFERROR(--MID(t,s,4),0),g,FILTER(k,(k&gt;=2000)*(k&lt;=2100),""),IFERROR(INDEX(g,1),""))</f>
        <v/>
      </c>
      <c r="P314">
        <f>LET(t,[@[Type verlof]],jj,[@Opbouwjaar],s,IF(jj="",t,SUBSTITUTE(t," "&amp;jj,"")),TRIM(s))</f>
        <v/>
      </c>
      <c r="Q314">
        <f>IF([@[Type verlof]]="","",IFERROR(XLOOKUP([@Basis_type],tblInstellingen[Basis verloftype],tblInstellingen[Aanvullingsrechtig]),"ONBEKEND"))</f>
        <v/>
      </c>
      <c r="R314">
        <f>IF(OR([@Opbouwjaar]="",[@[Type verlof]]=""),0,IFERROR(INDEX(FILTER(tblAanvulling[Totaalbedrag],(tblAanvulling[Mdw.]=[@[Mdw.]])*(tblAanvulling[Bkjr.]=[@Opbouwjaar]),0),1),0))</f>
        <v/>
      </c>
      <c r="S314">
        <f>IF([@Aanvullingsrechtig]="Ja",[@Beginsaldo]*[@Aanvulling_pu],0)</f>
        <v/>
      </c>
      <c r="T314">
        <f>IF(AND([@Opbouwjaar]&lt;&gt;"",[@Beginsaldo]&lt;&gt;0,OR([@Aanvullingsrechtig]="Ja",[@Aanvullingsrechtig]="Nee")),1,0)</f>
        <v/>
      </c>
    </row>
    <row r="315">
      <c r="O315">
        <f>LET(t,[@[Type verlof]],s,SEQUENCE(MAX(1,LEN(t)-3)),k,IFERROR(--MID(t,s,4),0),g,FILTER(k,(k&gt;=2000)*(k&lt;=2100),""),IFERROR(INDEX(g,1),""))</f>
        <v/>
      </c>
      <c r="P315">
        <f>LET(t,[@[Type verlof]],jj,[@Opbouwjaar],s,IF(jj="",t,SUBSTITUTE(t," "&amp;jj,"")),TRIM(s))</f>
        <v/>
      </c>
      <c r="Q315">
        <f>IF([@[Type verlof]]="","",IFERROR(XLOOKUP([@Basis_type],tblInstellingen[Basis verloftype],tblInstellingen[Aanvullingsrechtig]),"ONBEKEND"))</f>
        <v/>
      </c>
      <c r="R315">
        <f>IF(OR([@Opbouwjaar]="",[@[Type verlof]]=""),0,IFERROR(INDEX(FILTER(tblAanvulling[Totaalbedrag],(tblAanvulling[Mdw.]=[@[Mdw.]])*(tblAanvulling[Bkjr.]=[@Opbouwjaar]),0),1),0))</f>
        <v/>
      </c>
      <c r="S315">
        <f>IF([@Aanvullingsrechtig]="Ja",[@Beginsaldo]*[@Aanvulling_pu],0)</f>
        <v/>
      </c>
      <c r="T315">
        <f>IF(AND([@Opbouwjaar]&lt;&gt;"",[@Beginsaldo]&lt;&gt;0,OR([@Aanvullingsrechtig]="Ja",[@Aanvullingsrechtig]="Nee")),1,0)</f>
        <v/>
      </c>
    </row>
    <row r="316">
      <c r="O316">
        <f>LET(t,[@[Type verlof]],s,SEQUENCE(MAX(1,LEN(t)-3)),k,IFERROR(--MID(t,s,4),0),g,FILTER(k,(k&gt;=2000)*(k&lt;=2100),""),IFERROR(INDEX(g,1),""))</f>
        <v/>
      </c>
      <c r="P316">
        <f>LET(t,[@[Type verlof]],jj,[@Opbouwjaar],s,IF(jj="",t,SUBSTITUTE(t," "&amp;jj,"")),TRIM(s))</f>
        <v/>
      </c>
      <c r="Q316">
        <f>IF([@[Type verlof]]="","",IFERROR(XLOOKUP([@Basis_type],tblInstellingen[Basis verloftype],tblInstellingen[Aanvullingsrechtig]),"ONBEKEND"))</f>
        <v/>
      </c>
      <c r="R316">
        <f>IF(OR([@Opbouwjaar]="",[@[Type verlof]]=""),0,IFERROR(INDEX(FILTER(tblAanvulling[Totaalbedrag],(tblAanvulling[Mdw.]=[@[Mdw.]])*(tblAanvulling[Bkjr.]=[@Opbouwjaar]),0),1),0))</f>
        <v/>
      </c>
      <c r="S316">
        <f>IF([@Aanvullingsrechtig]="Ja",[@Beginsaldo]*[@Aanvulling_pu],0)</f>
        <v/>
      </c>
      <c r="T316">
        <f>IF(AND([@Opbouwjaar]&lt;&gt;"",[@Beginsaldo]&lt;&gt;0,OR([@Aanvullingsrechtig]="Ja",[@Aanvullingsrechtig]="Nee")),1,0)</f>
        <v/>
      </c>
    </row>
    <row r="317">
      <c r="O317">
        <f>LET(t,[@[Type verlof]],s,SEQUENCE(MAX(1,LEN(t)-3)),k,IFERROR(--MID(t,s,4),0),g,FILTER(k,(k&gt;=2000)*(k&lt;=2100),""),IFERROR(INDEX(g,1),""))</f>
        <v/>
      </c>
      <c r="P317">
        <f>LET(t,[@[Type verlof]],jj,[@Opbouwjaar],s,IF(jj="",t,SUBSTITUTE(t," "&amp;jj,"")),TRIM(s))</f>
        <v/>
      </c>
      <c r="Q317">
        <f>IF([@[Type verlof]]="","",IFERROR(XLOOKUP([@Basis_type],tblInstellingen[Basis verloftype],tblInstellingen[Aanvullingsrechtig]),"ONBEKEND"))</f>
        <v/>
      </c>
      <c r="R317">
        <f>IF(OR([@Opbouwjaar]="",[@[Type verlof]]=""),0,IFERROR(INDEX(FILTER(tblAanvulling[Totaalbedrag],(tblAanvulling[Mdw.]=[@[Mdw.]])*(tblAanvulling[Bkjr.]=[@Opbouwjaar]),0),1),0))</f>
        <v/>
      </c>
      <c r="S317">
        <f>IF([@Aanvullingsrechtig]="Ja",[@Beginsaldo]*[@Aanvulling_pu],0)</f>
        <v/>
      </c>
      <c r="T317">
        <f>IF(AND([@Opbouwjaar]&lt;&gt;"",[@Beginsaldo]&lt;&gt;0,OR([@Aanvullingsrechtig]="Ja",[@Aanvullingsrechtig]="Nee")),1,0)</f>
        <v/>
      </c>
    </row>
    <row r="318">
      <c r="O318">
        <f>LET(t,[@[Type verlof]],s,SEQUENCE(MAX(1,LEN(t)-3)),k,IFERROR(--MID(t,s,4),0),g,FILTER(k,(k&gt;=2000)*(k&lt;=2100),""),IFERROR(INDEX(g,1),""))</f>
        <v/>
      </c>
      <c r="P318">
        <f>LET(t,[@[Type verlof]],jj,[@Opbouwjaar],s,IF(jj="",t,SUBSTITUTE(t," "&amp;jj,"")),TRIM(s))</f>
        <v/>
      </c>
      <c r="Q318">
        <f>IF([@[Type verlof]]="","",IFERROR(XLOOKUP([@Basis_type],tblInstellingen[Basis verloftype],tblInstellingen[Aanvullingsrechtig]),"ONBEKEND"))</f>
        <v/>
      </c>
      <c r="R318">
        <f>IF(OR([@Opbouwjaar]="",[@[Type verlof]]=""),0,IFERROR(INDEX(FILTER(tblAanvulling[Totaalbedrag],(tblAanvulling[Mdw.]=[@[Mdw.]])*(tblAanvulling[Bkjr.]=[@Opbouwjaar]),0),1),0))</f>
        <v/>
      </c>
      <c r="S318">
        <f>IF([@Aanvullingsrechtig]="Ja",[@Beginsaldo]*[@Aanvulling_pu],0)</f>
        <v/>
      </c>
      <c r="T318">
        <f>IF(AND([@Opbouwjaar]&lt;&gt;"",[@Beginsaldo]&lt;&gt;0,OR([@Aanvullingsrechtig]="Ja",[@Aanvullingsrechtig]="Nee")),1,0)</f>
        <v/>
      </c>
    </row>
    <row r="319">
      <c r="O319">
        <f>LET(t,[@[Type verlof]],s,SEQUENCE(MAX(1,LEN(t)-3)),k,IFERROR(--MID(t,s,4),0),g,FILTER(k,(k&gt;=2000)*(k&lt;=2100),""),IFERROR(INDEX(g,1),""))</f>
        <v/>
      </c>
      <c r="P319">
        <f>LET(t,[@[Type verlof]],jj,[@Opbouwjaar],s,IF(jj="",t,SUBSTITUTE(t," "&amp;jj,"")),TRIM(s))</f>
        <v/>
      </c>
      <c r="Q319">
        <f>IF([@[Type verlof]]="","",IFERROR(XLOOKUP([@Basis_type],tblInstellingen[Basis verloftype],tblInstellingen[Aanvullingsrechtig]),"ONBEKEND"))</f>
        <v/>
      </c>
      <c r="R319">
        <f>IF(OR([@Opbouwjaar]="",[@[Type verlof]]=""),0,IFERROR(INDEX(FILTER(tblAanvulling[Totaalbedrag],(tblAanvulling[Mdw.]=[@[Mdw.]])*(tblAanvulling[Bkjr.]=[@Opbouwjaar]),0),1),0))</f>
        <v/>
      </c>
      <c r="S319">
        <f>IF([@Aanvullingsrechtig]="Ja",[@Beginsaldo]*[@Aanvulling_pu],0)</f>
        <v/>
      </c>
      <c r="T319">
        <f>IF(AND([@Opbouwjaar]&lt;&gt;"",[@Beginsaldo]&lt;&gt;0,OR([@Aanvullingsrechtig]="Ja",[@Aanvullingsrechtig]="Nee")),1,0)</f>
        <v/>
      </c>
    </row>
    <row r="320">
      <c r="O320">
        <f>LET(t,[@[Type verlof]],s,SEQUENCE(MAX(1,LEN(t)-3)),k,IFERROR(--MID(t,s,4),0),g,FILTER(k,(k&gt;=2000)*(k&lt;=2100),""),IFERROR(INDEX(g,1),""))</f>
        <v/>
      </c>
      <c r="P320">
        <f>LET(t,[@[Type verlof]],jj,[@Opbouwjaar],s,IF(jj="",t,SUBSTITUTE(t," "&amp;jj,"")),TRIM(s))</f>
        <v/>
      </c>
      <c r="Q320">
        <f>IF([@[Type verlof]]="","",IFERROR(XLOOKUP([@Basis_type],tblInstellingen[Basis verloftype],tblInstellingen[Aanvullingsrechtig]),"ONBEKEND"))</f>
        <v/>
      </c>
      <c r="R320">
        <f>IF(OR([@Opbouwjaar]="",[@[Type verlof]]=""),0,IFERROR(INDEX(FILTER(tblAanvulling[Totaalbedrag],(tblAanvulling[Mdw.]=[@[Mdw.]])*(tblAanvulling[Bkjr.]=[@Opbouwjaar]),0),1),0))</f>
        <v/>
      </c>
      <c r="S320">
        <f>IF([@Aanvullingsrechtig]="Ja",[@Beginsaldo]*[@Aanvulling_pu],0)</f>
        <v/>
      </c>
      <c r="T320">
        <f>IF(AND([@Opbouwjaar]&lt;&gt;"",[@Beginsaldo]&lt;&gt;0,OR([@Aanvullingsrechtig]="Ja",[@Aanvullingsrechtig]="Nee")),1,0)</f>
        <v/>
      </c>
    </row>
    <row r="321">
      <c r="O321">
        <f>LET(t,[@[Type verlof]],s,SEQUENCE(MAX(1,LEN(t)-3)),k,IFERROR(--MID(t,s,4),0),g,FILTER(k,(k&gt;=2000)*(k&lt;=2100),""),IFERROR(INDEX(g,1),""))</f>
        <v/>
      </c>
      <c r="P321">
        <f>LET(t,[@[Type verlof]],jj,[@Opbouwjaar],s,IF(jj="",t,SUBSTITUTE(t," "&amp;jj,"")),TRIM(s))</f>
        <v/>
      </c>
      <c r="Q321">
        <f>IF([@[Type verlof]]="","",IFERROR(XLOOKUP([@Basis_type],tblInstellingen[Basis verloftype],tblInstellingen[Aanvullingsrechtig]),"ONBEKEND"))</f>
        <v/>
      </c>
      <c r="R321">
        <f>IF(OR([@Opbouwjaar]="",[@[Type verlof]]=""),0,IFERROR(INDEX(FILTER(tblAanvulling[Totaalbedrag],(tblAanvulling[Mdw.]=[@[Mdw.]])*(tblAanvulling[Bkjr.]=[@Opbouwjaar]),0),1),0))</f>
        <v/>
      </c>
      <c r="S321">
        <f>IF([@Aanvullingsrechtig]="Ja",[@Beginsaldo]*[@Aanvulling_pu],0)</f>
        <v/>
      </c>
      <c r="T321">
        <f>IF(AND([@Opbouwjaar]&lt;&gt;"",[@Beginsaldo]&lt;&gt;0,OR([@Aanvullingsrechtig]="Ja",[@Aanvullingsrechtig]="Nee")),1,0)</f>
        <v/>
      </c>
    </row>
    <row r="322">
      <c r="O322">
        <f>LET(t,[@[Type verlof]],s,SEQUENCE(MAX(1,LEN(t)-3)),k,IFERROR(--MID(t,s,4),0),g,FILTER(k,(k&gt;=2000)*(k&lt;=2100),""),IFERROR(INDEX(g,1),""))</f>
        <v/>
      </c>
      <c r="P322">
        <f>LET(t,[@[Type verlof]],jj,[@Opbouwjaar],s,IF(jj="",t,SUBSTITUTE(t," "&amp;jj,"")),TRIM(s))</f>
        <v/>
      </c>
      <c r="Q322">
        <f>IF([@[Type verlof]]="","",IFERROR(XLOOKUP([@Basis_type],tblInstellingen[Basis verloftype],tblInstellingen[Aanvullingsrechtig]),"ONBEKEND"))</f>
        <v/>
      </c>
      <c r="R322">
        <f>IF(OR([@Opbouwjaar]="",[@[Type verlof]]=""),0,IFERROR(INDEX(FILTER(tblAanvulling[Totaalbedrag],(tblAanvulling[Mdw.]=[@[Mdw.]])*(tblAanvulling[Bkjr.]=[@Opbouwjaar]),0),1),0))</f>
        <v/>
      </c>
      <c r="S322">
        <f>IF([@Aanvullingsrechtig]="Ja",[@Beginsaldo]*[@Aanvulling_pu],0)</f>
        <v/>
      </c>
      <c r="T322">
        <f>IF(AND([@Opbouwjaar]&lt;&gt;"",[@Beginsaldo]&lt;&gt;0,OR([@Aanvullingsrechtig]="Ja",[@Aanvullingsrechtig]="Nee")),1,0)</f>
        <v/>
      </c>
    </row>
    <row r="323">
      <c r="O323">
        <f>LET(t,[@[Type verlof]],s,SEQUENCE(MAX(1,LEN(t)-3)),k,IFERROR(--MID(t,s,4),0),g,FILTER(k,(k&gt;=2000)*(k&lt;=2100),""),IFERROR(INDEX(g,1),""))</f>
        <v/>
      </c>
      <c r="P323">
        <f>LET(t,[@[Type verlof]],jj,[@Opbouwjaar],s,IF(jj="",t,SUBSTITUTE(t," "&amp;jj,"")),TRIM(s))</f>
        <v/>
      </c>
      <c r="Q323">
        <f>IF([@[Type verlof]]="","",IFERROR(XLOOKUP([@Basis_type],tblInstellingen[Basis verloftype],tblInstellingen[Aanvullingsrechtig]),"ONBEKEND"))</f>
        <v/>
      </c>
      <c r="R323">
        <f>IF(OR([@Opbouwjaar]="",[@[Type verlof]]=""),0,IFERROR(INDEX(FILTER(tblAanvulling[Totaalbedrag],(tblAanvulling[Mdw.]=[@[Mdw.]])*(tblAanvulling[Bkjr.]=[@Opbouwjaar]),0),1),0))</f>
        <v/>
      </c>
      <c r="S323">
        <f>IF([@Aanvullingsrechtig]="Ja",[@Beginsaldo]*[@Aanvulling_pu],0)</f>
        <v/>
      </c>
      <c r="T323">
        <f>IF(AND([@Opbouwjaar]&lt;&gt;"",[@Beginsaldo]&lt;&gt;0,OR([@Aanvullingsrechtig]="Ja",[@Aanvullingsrechtig]="Nee")),1,0)</f>
        <v/>
      </c>
    </row>
    <row r="324">
      <c r="O324">
        <f>LET(t,[@[Type verlof]],s,SEQUENCE(MAX(1,LEN(t)-3)),k,IFERROR(--MID(t,s,4),0),g,FILTER(k,(k&gt;=2000)*(k&lt;=2100),""),IFERROR(INDEX(g,1),""))</f>
        <v/>
      </c>
      <c r="P324">
        <f>LET(t,[@[Type verlof]],jj,[@Opbouwjaar],s,IF(jj="",t,SUBSTITUTE(t," "&amp;jj,"")),TRIM(s))</f>
        <v/>
      </c>
      <c r="Q324">
        <f>IF([@[Type verlof]]="","",IFERROR(XLOOKUP([@Basis_type],tblInstellingen[Basis verloftype],tblInstellingen[Aanvullingsrechtig]),"ONBEKEND"))</f>
        <v/>
      </c>
      <c r="R324">
        <f>IF(OR([@Opbouwjaar]="",[@[Type verlof]]=""),0,IFERROR(INDEX(FILTER(tblAanvulling[Totaalbedrag],(tblAanvulling[Mdw.]=[@[Mdw.]])*(tblAanvulling[Bkjr.]=[@Opbouwjaar]),0),1),0))</f>
        <v/>
      </c>
      <c r="S324">
        <f>IF([@Aanvullingsrechtig]="Ja",[@Beginsaldo]*[@Aanvulling_pu],0)</f>
        <v/>
      </c>
      <c r="T324">
        <f>IF(AND([@Opbouwjaar]&lt;&gt;"",[@Beginsaldo]&lt;&gt;0,OR([@Aanvullingsrechtig]="Ja",[@Aanvullingsrechtig]="Nee")),1,0)</f>
        <v/>
      </c>
    </row>
    <row r="325">
      <c r="O325">
        <f>LET(t,[@[Type verlof]],s,SEQUENCE(MAX(1,LEN(t)-3)),k,IFERROR(--MID(t,s,4),0),g,FILTER(k,(k&gt;=2000)*(k&lt;=2100),""),IFERROR(INDEX(g,1),""))</f>
        <v/>
      </c>
      <c r="P325">
        <f>LET(t,[@[Type verlof]],jj,[@Opbouwjaar],s,IF(jj="",t,SUBSTITUTE(t," "&amp;jj,"")),TRIM(s))</f>
        <v/>
      </c>
      <c r="Q325">
        <f>IF([@[Type verlof]]="","",IFERROR(XLOOKUP([@Basis_type],tblInstellingen[Basis verloftype],tblInstellingen[Aanvullingsrechtig]),"ONBEKEND"))</f>
        <v/>
      </c>
      <c r="R325">
        <f>IF(OR([@Opbouwjaar]="",[@[Type verlof]]=""),0,IFERROR(INDEX(FILTER(tblAanvulling[Totaalbedrag],(tblAanvulling[Mdw.]=[@[Mdw.]])*(tblAanvulling[Bkjr.]=[@Opbouwjaar]),0),1),0))</f>
        <v/>
      </c>
      <c r="S325">
        <f>IF([@Aanvullingsrechtig]="Ja",[@Beginsaldo]*[@Aanvulling_pu],0)</f>
        <v/>
      </c>
      <c r="T325">
        <f>IF(AND([@Opbouwjaar]&lt;&gt;"",[@Beginsaldo]&lt;&gt;0,OR([@Aanvullingsrechtig]="Ja",[@Aanvullingsrechtig]="Nee")),1,0)</f>
        <v/>
      </c>
    </row>
    <row r="326">
      <c r="O326">
        <f>LET(t,[@[Type verlof]],s,SEQUENCE(MAX(1,LEN(t)-3)),k,IFERROR(--MID(t,s,4),0),g,FILTER(k,(k&gt;=2000)*(k&lt;=2100),""),IFERROR(INDEX(g,1),""))</f>
        <v/>
      </c>
      <c r="P326">
        <f>LET(t,[@[Type verlof]],jj,[@Opbouwjaar],s,IF(jj="",t,SUBSTITUTE(t," "&amp;jj,"")),TRIM(s))</f>
        <v/>
      </c>
      <c r="Q326">
        <f>IF([@[Type verlof]]="","",IFERROR(XLOOKUP([@Basis_type],tblInstellingen[Basis verloftype],tblInstellingen[Aanvullingsrechtig]),"ONBEKEND"))</f>
        <v/>
      </c>
      <c r="R326">
        <f>IF(OR([@Opbouwjaar]="",[@[Type verlof]]=""),0,IFERROR(INDEX(FILTER(tblAanvulling[Totaalbedrag],(tblAanvulling[Mdw.]=[@[Mdw.]])*(tblAanvulling[Bkjr.]=[@Opbouwjaar]),0),1),0))</f>
        <v/>
      </c>
      <c r="S326">
        <f>IF([@Aanvullingsrechtig]="Ja",[@Beginsaldo]*[@Aanvulling_pu],0)</f>
        <v/>
      </c>
      <c r="T326">
        <f>IF(AND([@Opbouwjaar]&lt;&gt;"",[@Beginsaldo]&lt;&gt;0,OR([@Aanvullingsrechtig]="Ja",[@Aanvullingsrechtig]="Nee")),1,0)</f>
        <v/>
      </c>
    </row>
    <row r="327">
      <c r="O327">
        <f>LET(t,[@[Type verlof]],s,SEQUENCE(MAX(1,LEN(t)-3)),k,IFERROR(--MID(t,s,4),0),g,FILTER(k,(k&gt;=2000)*(k&lt;=2100),""),IFERROR(INDEX(g,1),""))</f>
        <v/>
      </c>
      <c r="P327">
        <f>LET(t,[@[Type verlof]],jj,[@Opbouwjaar],s,IF(jj="",t,SUBSTITUTE(t," "&amp;jj,"")),TRIM(s))</f>
        <v/>
      </c>
      <c r="Q327">
        <f>IF([@[Type verlof]]="","",IFERROR(XLOOKUP([@Basis_type],tblInstellingen[Basis verloftype],tblInstellingen[Aanvullingsrechtig]),"ONBEKEND"))</f>
        <v/>
      </c>
      <c r="R327">
        <f>IF(OR([@Opbouwjaar]="",[@[Type verlof]]=""),0,IFERROR(INDEX(FILTER(tblAanvulling[Totaalbedrag],(tblAanvulling[Mdw.]=[@[Mdw.]])*(tblAanvulling[Bkjr.]=[@Opbouwjaar]),0),1),0))</f>
        <v/>
      </c>
      <c r="S327">
        <f>IF([@Aanvullingsrechtig]="Ja",[@Beginsaldo]*[@Aanvulling_pu],0)</f>
        <v/>
      </c>
      <c r="T327">
        <f>IF(AND([@Opbouwjaar]&lt;&gt;"",[@Beginsaldo]&lt;&gt;0,OR([@Aanvullingsrechtig]="Ja",[@Aanvullingsrechtig]="Nee")),1,0)</f>
        <v/>
      </c>
    </row>
    <row r="328">
      <c r="O328">
        <f>LET(t,[@[Type verlof]],s,SEQUENCE(MAX(1,LEN(t)-3)),k,IFERROR(--MID(t,s,4),0),g,FILTER(k,(k&gt;=2000)*(k&lt;=2100),""),IFERROR(INDEX(g,1),""))</f>
        <v/>
      </c>
      <c r="P328">
        <f>LET(t,[@[Type verlof]],jj,[@Opbouwjaar],s,IF(jj="",t,SUBSTITUTE(t," "&amp;jj,"")),TRIM(s))</f>
        <v/>
      </c>
      <c r="Q328">
        <f>IF([@[Type verlof]]="","",IFERROR(XLOOKUP([@Basis_type],tblInstellingen[Basis verloftype],tblInstellingen[Aanvullingsrechtig]),"ONBEKEND"))</f>
        <v/>
      </c>
      <c r="R328">
        <f>IF(OR([@Opbouwjaar]="",[@[Type verlof]]=""),0,IFERROR(INDEX(FILTER(tblAanvulling[Totaalbedrag],(tblAanvulling[Mdw.]=[@[Mdw.]])*(tblAanvulling[Bkjr.]=[@Opbouwjaar]),0),1),0))</f>
        <v/>
      </c>
      <c r="S328">
        <f>IF([@Aanvullingsrechtig]="Ja",[@Beginsaldo]*[@Aanvulling_pu],0)</f>
        <v/>
      </c>
      <c r="T328">
        <f>IF(AND([@Opbouwjaar]&lt;&gt;"",[@Beginsaldo]&lt;&gt;0,OR([@Aanvullingsrechtig]="Ja",[@Aanvullingsrechtig]="Nee")),1,0)</f>
        <v/>
      </c>
    </row>
    <row r="329">
      <c r="O329">
        <f>LET(t,[@[Type verlof]],s,SEQUENCE(MAX(1,LEN(t)-3)),k,IFERROR(--MID(t,s,4),0),g,FILTER(k,(k&gt;=2000)*(k&lt;=2100),""),IFERROR(INDEX(g,1),""))</f>
        <v/>
      </c>
      <c r="P329">
        <f>LET(t,[@[Type verlof]],jj,[@Opbouwjaar],s,IF(jj="",t,SUBSTITUTE(t," "&amp;jj,"")),TRIM(s))</f>
        <v/>
      </c>
      <c r="Q329">
        <f>IF([@[Type verlof]]="","",IFERROR(XLOOKUP([@Basis_type],tblInstellingen[Basis verloftype],tblInstellingen[Aanvullingsrechtig]),"ONBEKEND"))</f>
        <v/>
      </c>
      <c r="R329">
        <f>IF(OR([@Opbouwjaar]="",[@[Type verlof]]=""),0,IFERROR(INDEX(FILTER(tblAanvulling[Totaalbedrag],(tblAanvulling[Mdw.]=[@[Mdw.]])*(tblAanvulling[Bkjr.]=[@Opbouwjaar]),0),1),0))</f>
        <v/>
      </c>
      <c r="S329">
        <f>IF([@Aanvullingsrechtig]="Ja",[@Beginsaldo]*[@Aanvulling_pu],0)</f>
        <v/>
      </c>
      <c r="T329">
        <f>IF(AND([@Opbouwjaar]&lt;&gt;"",[@Beginsaldo]&lt;&gt;0,OR([@Aanvullingsrechtig]="Ja",[@Aanvullingsrechtig]="Nee")),1,0)</f>
        <v/>
      </c>
    </row>
    <row r="330">
      <c r="O330">
        <f>LET(t,[@[Type verlof]],s,SEQUENCE(MAX(1,LEN(t)-3)),k,IFERROR(--MID(t,s,4),0),g,FILTER(k,(k&gt;=2000)*(k&lt;=2100),""),IFERROR(INDEX(g,1),""))</f>
        <v/>
      </c>
      <c r="P330">
        <f>LET(t,[@[Type verlof]],jj,[@Opbouwjaar],s,IF(jj="",t,SUBSTITUTE(t," "&amp;jj,"")),TRIM(s))</f>
        <v/>
      </c>
      <c r="Q330">
        <f>IF([@[Type verlof]]="","",IFERROR(XLOOKUP([@Basis_type],tblInstellingen[Basis verloftype],tblInstellingen[Aanvullingsrechtig]),"ONBEKEND"))</f>
        <v/>
      </c>
      <c r="R330">
        <f>IF(OR([@Opbouwjaar]="",[@[Type verlof]]=""),0,IFERROR(INDEX(FILTER(tblAanvulling[Totaalbedrag],(tblAanvulling[Mdw.]=[@[Mdw.]])*(tblAanvulling[Bkjr.]=[@Opbouwjaar]),0),1),0))</f>
        <v/>
      </c>
      <c r="S330">
        <f>IF([@Aanvullingsrechtig]="Ja",[@Beginsaldo]*[@Aanvulling_pu],0)</f>
        <v/>
      </c>
      <c r="T330">
        <f>IF(AND([@Opbouwjaar]&lt;&gt;"",[@Beginsaldo]&lt;&gt;0,OR([@Aanvullingsrechtig]="Ja",[@Aanvullingsrechtig]="Nee")),1,0)</f>
        <v/>
      </c>
    </row>
    <row r="331">
      <c r="O331">
        <f>LET(t,[@[Type verlof]],s,SEQUENCE(MAX(1,LEN(t)-3)),k,IFERROR(--MID(t,s,4),0),g,FILTER(k,(k&gt;=2000)*(k&lt;=2100),""),IFERROR(INDEX(g,1),""))</f>
        <v/>
      </c>
      <c r="P331">
        <f>LET(t,[@[Type verlof]],jj,[@Opbouwjaar],s,IF(jj="",t,SUBSTITUTE(t," "&amp;jj,"")),TRIM(s))</f>
        <v/>
      </c>
      <c r="Q331">
        <f>IF([@[Type verlof]]="","",IFERROR(XLOOKUP([@Basis_type],tblInstellingen[Basis verloftype],tblInstellingen[Aanvullingsrechtig]),"ONBEKEND"))</f>
        <v/>
      </c>
      <c r="R331">
        <f>IF(OR([@Opbouwjaar]="",[@[Type verlof]]=""),0,IFERROR(INDEX(FILTER(tblAanvulling[Totaalbedrag],(tblAanvulling[Mdw.]=[@[Mdw.]])*(tblAanvulling[Bkjr.]=[@Opbouwjaar]),0),1),0))</f>
        <v/>
      </c>
      <c r="S331">
        <f>IF([@Aanvullingsrechtig]="Ja",[@Beginsaldo]*[@Aanvulling_pu],0)</f>
        <v/>
      </c>
      <c r="T331">
        <f>IF(AND([@Opbouwjaar]&lt;&gt;"",[@Beginsaldo]&lt;&gt;0,OR([@Aanvullingsrechtig]="Ja",[@Aanvullingsrechtig]="Nee")),1,0)</f>
        <v/>
      </c>
    </row>
    <row r="332">
      <c r="O332">
        <f>LET(t,[@[Type verlof]],s,SEQUENCE(MAX(1,LEN(t)-3)),k,IFERROR(--MID(t,s,4),0),g,FILTER(k,(k&gt;=2000)*(k&lt;=2100),""),IFERROR(INDEX(g,1),""))</f>
        <v/>
      </c>
      <c r="P332">
        <f>LET(t,[@[Type verlof]],jj,[@Opbouwjaar],s,IF(jj="",t,SUBSTITUTE(t," "&amp;jj,"")),TRIM(s))</f>
        <v/>
      </c>
      <c r="Q332">
        <f>IF([@[Type verlof]]="","",IFERROR(XLOOKUP([@Basis_type],tblInstellingen[Basis verloftype],tblInstellingen[Aanvullingsrechtig]),"ONBEKEND"))</f>
        <v/>
      </c>
      <c r="R332">
        <f>IF(OR([@Opbouwjaar]="",[@[Type verlof]]=""),0,IFERROR(INDEX(FILTER(tblAanvulling[Totaalbedrag],(tblAanvulling[Mdw.]=[@[Mdw.]])*(tblAanvulling[Bkjr.]=[@Opbouwjaar]),0),1),0))</f>
        <v/>
      </c>
      <c r="S332">
        <f>IF([@Aanvullingsrechtig]="Ja",[@Beginsaldo]*[@Aanvulling_pu],0)</f>
        <v/>
      </c>
      <c r="T332">
        <f>IF(AND([@Opbouwjaar]&lt;&gt;"",[@Beginsaldo]&lt;&gt;0,OR([@Aanvullingsrechtig]="Ja",[@Aanvullingsrechtig]="Nee")),1,0)</f>
        <v/>
      </c>
    </row>
    <row r="333">
      <c r="O333">
        <f>LET(t,[@[Type verlof]],s,SEQUENCE(MAX(1,LEN(t)-3)),k,IFERROR(--MID(t,s,4),0),g,FILTER(k,(k&gt;=2000)*(k&lt;=2100),""),IFERROR(INDEX(g,1),""))</f>
        <v/>
      </c>
      <c r="P333">
        <f>LET(t,[@[Type verlof]],jj,[@Opbouwjaar],s,IF(jj="",t,SUBSTITUTE(t," "&amp;jj,"")),TRIM(s))</f>
        <v/>
      </c>
      <c r="Q333">
        <f>IF([@[Type verlof]]="","",IFERROR(XLOOKUP([@Basis_type],tblInstellingen[Basis verloftype],tblInstellingen[Aanvullingsrechtig]),"ONBEKEND"))</f>
        <v/>
      </c>
      <c r="R333">
        <f>IF(OR([@Opbouwjaar]="",[@[Type verlof]]=""),0,IFERROR(INDEX(FILTER(tblAanvulling[Totaalbedrag],(tblAanvulling[Mdw.]=[@[Mdw.]])*(tblAanvulling[Bkjr.]=[@Opbouwjaar]),0),1),0))</f>
        <v/>
      </c>
      <c r="S333">
        <f>IF([@Aanvullingsrechtig]="Ja",[@Beginsaldo]*[@Aanvulling_pu],0)</f>
        <v/>
      </c>
      <c r="T333">
        <f>IF(AND([@Opbouwjaar]&lt;&gt;"",[@Beginsaldo]&lt;&gt;0,OR([@Aanvullingsrechtig]="Ja",[@Aanvullingsrechtig]="Nee")),1,0)</f>
        <v/>
      </c>
    </row>
    <row r="334">
      <c r="O334">
        <f>LET(t,[@[Type verlof]],s,SEQUENCE(MAX(1,LEN(t)-3)),k,IFERROR(--MID(t,s,4),0),g,FILTER(k,(k&gt;=2000)*(k&lt;=2100),""),IFERROR(INDEX(g,1),""))</f>
        <v/>
      </c>
      <c r="P334">
        <f>LET(t,[@[Type verlof]],jj,[@Opbouwjaar],s,IF(jj="",t,SUBSTITUTE(t," "&amp;jj,"")),TRIM(s))</f>
        <v/>
      </c>
      <c r="Q334">
        <f>IF([@[Type verlof]]="","",IFERROR(XLOOKUP([@Basis_type],tblInstellingen[Basis verloftype],tblInstellingen[Aanvullingsrechtig]),"ONBEKEND"))</f>
        <v/>
      </c>
      <c r="R334">
        <f>IF(OR([@Opbouwjaar]="",[@[Type verlof]]=""),0,IFERROR(INDEX(FILTER(tblAanvulling[Totaalbedrag],(tblAanvulling[Mdw.]=[@[Mdw.]])*(tblAanvulling[Bkjr.]=[@Opbouwjaar]),0),1),0))</f>
        <v/>
      </c>
      <c r="S334">
        <f>IF([@Aanvullingsrechtig]="Ja",[@Beginsaldo]*[@Aanvulling_pu],0)</f>
        <v/>
      </c>
      <c r="T334">
        <f>IF(AND([@Opbouwjaar]&lt;&gt;"",[@Beginsaldo]&lt;&gt;0,OR([@Aanvullingsrechtig]="Ja",[@Aanvullingsrechtig]="Nee")),1,0)</f>
        <v/>
      </c>
    </row>
    <row r="335">
      <c r="O335">
        <f>LET(t,[@[Type verlof]],s,SEQUENCE(MAX(1,LEN(t)-3)),k,IFERROR(--MID(t,s,4),0),g,FILTER(k,(k&gt;=2000)*(k&lt;=2100),""),IFERROR(INDEX(g,1),""))</f>
        <v/>
      </c>
      <c r="P335">
        <f>LET(t,[@[Type verlof]],jj,[@Opbouwjaar],s,IF(jj="",t,SUBSTITUTE(t," "&amp;jj,"")),TRIM(s))</f>
        <v/>
      </c>
      <c r="Q335">
        <f>IF([@[Type verlof]]="","",IFERROR(XLOOKUP([@Basis_type],tblInstellingen[Basis verloftype],tblInstellingen[Aanvullingsrechtig]),"ONBEKEND"))</f>
        <v/>
      </c>
      <c r="R335">
        <f>IF(OR([@Opbouwjaar]="",[@[Type verlof]]=""),0,IFERROR(INDEX(FILTER(tblAanvulling[Totaalbedrag],(tblAanvulling[Mdw.]=[@[Mdw.]])*(tblAanvulling[Bkjr.]=[@Opbouwjaar]),0),1),0))</f>
        <v/>
      </c>
      <c r="S335">
        <f>IF([@Aanvullingsrechtig]="Ja",[@Beginsaldo]*[@Aanvulling_pu],0)</f>
        <v/>
      </c>
      <c r="T335">
        <f>IF(AND([@Opbouwjaar]&lt;&gt;"",[@Beginsaldo]&lt;&gt;0,OR([@Aanvullingsrechtig]="Ja",[@Aanvullingsrechtig]="Nee")),1,0)</f>
        <v/>
      </c>
    </row>
    <row r="336">
      <c r="O336">
        <f>LET(t,[@[Type verlof]],s,SEQUENCE(MAX(1,LEN(t)-3)),k,IFERROR(--MID(t,s,4),0),g,FILTER(k,(k&gt;=2000)*(k&lt;=2100),""),IFERROR(INDEX(g,1),""))</f>
        <v/>
      </c>
      <c r="P336">
        <f>LET(t,[@[Type verlof]],jj,[@Opbouwjaar],s,IF(jj="",t,SUBSTITUTE(t," "&amp;jj,"")),TRIM(s))</f>
        <v/>
      </c>
      <c r="Q336">
        <f>IF([@[Type verlof]]="","",IFERROR(XLOOKUP([@Basis_type],tblInstellingen[Basis verloftype],tblInstellingen[Aanvullingsrechtig]),"ONBEKEND"))</f>
        <v/>
      </c>
      <c r="R336">
        <f>IF(OR([@Opbouwjaar]="",[@[Type verlof]]=""),0,IFERROR(INDEX(FILTER(tblAanvulling[Totaalbedrag],(tblAanvulling[Mdw.]=[@[Mdw.]])*(tblAanvulling[Bkjr.]=[@Opbouwjaar]),0),1),0))</f>
        <v/>
      </c>
      <c r="S336">
        <f>IF([@Aanvullingsrechtig]="Ja",[@Beginsaldo]*[@Aanvulling_pu],0)</f>
        <v/>
      </c>
      <c r="T336">
        <f>IF(AND([@Opbouwjaar]&lt;&gt;"",[@Beginsaldo]&lt;&gt;0,OR([@Aanvullingsrechtig]="Ja",[@Aanvullingsrechtig]="Nee")),1,0)</f>
        <v/>
      </c>
    </row>
    <row r="337">
      <c r="O337">
        <f>LET(t,[@[Type verlof]],s,SEQUENCE(MAX(1,LEN(t)-3)),k,IFERROR(--MID(t,s,4),0),g,FILTER(k,(k&gt;=2000)*(k&lt;=2100),""),IFERROR(INDEX(g,1),""))</f>
        <v/>
      </c>
      <c r="P337">
        <f>LET(t,[@[Type verlof]],jj,[@Opbouwjaar],s,IF(jj="",t,SUBSTITUTE(t," "&amp;jj,"")),TRIM(s))</f>
        <v/>
      </c>
      <c r="Q337">
        <f>IF([@[Type verlof]]="","",IFERROR(XLOOKUP([@Basis_type],tblInstellingen[Basis verloftype],tblInstellingen[Aanvullingsrechtig]),"ONBEKEND"))</f>
        <v/>
      </c>
      <c r="R337">
        <f>IF(OR([@Opbouwjaar]="",[@[Type verlof]]=""),0,IFERROR(INDEX(FILTER(tblAanvulling[Totaalbedrag],(tblAanvulling[Mdw.]=[@[Mdw.]])*(tblAanvulling[Bkjr.]=[@Opbouwjaar]),0),1),0))</f>
        <v/>
      </c>
      <c r="S337">
        <f>IF([@Aanvullingsrechtig]="Ja",[@Beginsaldo]*[@Aanvulling_pu],0)</f>
        <v/>
      </c>
      <c r="T337">
        <f>IF(AND([@Opbouwjaar]&lt;&gt;"",[@Beginsaldo]&lt;&gt;0,OR([@Aanvullingsrechtig]="Ja",[@Aanvullingsrechtig]="Nee")),1,0)</f>
        <v/>
      </c>
    </row>
    <row r="338">
      <c r="O338">
        <f>LET(t,[@[Type verlof]],s,SEQUENCE(MAX(1,LEN(t)-3)),k,IFERROR(--MID(t,s,4),0),g,FILTER(k,(k&gt;=2000)*(k&lt;=2100),""),IFERROR(INDEX(g,1),""))</f>
        <v/>
      </c>
      <c r="P338">
        <f>LET(t,[@[Type verlof]],jj,[@Opbouwjaar],s,IF(jj="",t,SUBSTITUTE(t," "&amp;jj,"")),TRIM(s))</f>
        <v/>
      </c>
      <c r="Q338">
        <f>IF([@[Type verlof]]="","",IFERROR(XLOOKUP([@Basis_type],tblInstellingen[Basis verloftype],tblInstellingen[Aanvullingsrechtig]),"ONBEKEND"))</f>
        <v/>
      </c>
      <c r="R338">
        <f>IF(OR([@Opbouwjaar]="",[@[Type verlof]]=""),0,IFERROR(INDEX(FILTER(tblAanvulling[Totaalbedrag],(tblAanvulling[Mdw.]=[@[Mdw.]])*(tblAanvulling[Bkjr.]=[@Opbouwjaar]),0),1),0))</f>
        <v/>
      </c>
      <c r="S338">
        <f>IF([@Aanvullingsrechtig]="Ja",[@Beginsaldo]*[@Aanvulling_pu],0)</f>
        <v/>
      </c>
      <c r="T338">
        <f>IF(AND([@Opbouwjaar]&lt;&gt;"",[@Beginsaldo]&lt;&gt;0,OR([@Aanvullingsrechtig]="Ja",[@Aanvullingsrechtig]="Nee")),1,0)</f>
        <v/>
      </c>
    </row>
    <row r="339">
      <c r="O339">
        <f>LET(t,[@[Type verlof]],s,SEQUENCE(MAX(1,LEN(t)-3)),k,IFERROR(--MID(t,s,4),0),g,FILTER(k,(k&gt;=2000)*(k&lt;=2100),""),IFERROR(INDEX(g,1),""))</f>
        <v/>
      </c>
      <c r="P339">
        <f>LET(t,[@[Type verlof]],jj,[@Opbouwjaar],s,IF(jj="",t,SUBSTITUTE(t," "&amp;jj,"")),TRIM(s))</f>
        <v/>
      </c>
      <c r="Q339">
        <f>IF([@[Type verlof]]="","",IFERROR(XLOOKUP([@Basis_type],tblInstellingen[Basis verloftype],tblInstellingen[Aanvullingsrechtig]),"ONBEKEND"))</f>
        <v/>
      </c>
      <c r="R339">
        <f>IF(OR([@Opbouwjaar]="",[@[Type verlof]]=""),0,IFERROR(INDEX(FILTER(tblAanvulling[Totaalbedrag],(tblAanvulling[Mdw.]=[@[Mdw.]])*(tblAanvulling[Bkjr.]=[@Opbouwjaar]),0),1),0))</f>
        <v/>
      </c>
      <c r="S339">
        <f>IF([@Aanvullingsrechtig]="Ja",[@Beginsaldo]*[@Aanvulling_pu],0)</f>
        <v/>
      </c>
      <c r="T339">
        <f>IF(AND([@Opbouwjaar]&lt;&gt;"",[@Beginsaldo]&lt;&gt;0,OR([@Aanvullingsrechtig]="Ja",[@Aanvullingsrechtig]="Nee")),1,0)</f>
        <v/>
      </c>
    </row>
    <row r="340">
      <c r="O340">
        <f>LET(t,[@[Type verlof]],s,SEQUENCE(MAX(1,LEN(t)-3)),k,IFERROR(--MID(t,s,4),0),g,FILTER(k,(k&gt;=2000)*(k&lt;=2100),""),IFERROR(INDEX(g,1),""))</f>
        <v/>
      </c>
      <c r="P340">
        <f>LET(t,[@[Type verlof]],jj,[@Opbouwjaar],s,IF(jj="",t,SUBSTITUTE(t," "&amp;jj,"")),TRIM(s))</f>
        <v/>
      </c>
      <c r="Q340">
        <f>IF([@[Type verlof]]="","",IFERROR(XLOOKUP([@Basis_type],tblInstellingen[Basis verloftype],tblInstellingen[Aanvullingsrechtig]),"ONBEKEND"))</f>
        <v/>
      </c>
      <c r="R340">
        <f>IF(OR([@Opbouwjaar]="",[@[Type verlof]]=""),0,IFERROR(INDEX(FILTER(tblAanvulling[Totaalbedrag],(tblAanvulling[Mdw.]=[@[Mdw.]])*(tblAanvulling[Bkjr.]=[@Opbouwjaar]),0),1),0))</f>
        <v/>
      </c>
      <c r="S340">
        <f>IF([@Aanvullingsrechtig]="Ja",[@Beginsaldo]*[@Aanvulling_pu],0)</f>
        <v/>
      </c>
      <c r="T340">
        <f>IF(AND([@Opbouwjaar]&lt;&gt;"",[@Beginsaldo]&lt;&gt;0,OR([@Aanvullingsrechtig]="Ja",[@Aanvullingsrechtig]="Nee")),1,0)</f>
        <v/>
      </c>
    </row>
    <row r="341">
      <c r="O341">
        <f>LET(t,[@[Type verlof]],s,SEQUENCE(MAX(1,LEN(t)-3)),k,IFERROR(--MID(t,s,4),0),g,FILTER(k,(k&gt;=2000)*(k&lt;=2100),""),IFERROR(INDEX(g,1),""))</f>
        <v/>
      </c>
      <c r="P341">
        <f>LET(t,[@[Type verlof]],jj,[@Opbouwjaar],s,IF(jj="",t,SUBSTITUTE(t," "&amp;jj,"")),TRIM(s))</f>
        <v/>
      </c>
      <c r="Q341">
        <f>IF([@[Type verlof]]="","",IFERROR(XLOOKUP([@Basis_type],tblInstellingen[Basis verloftype],tblInstellingen[Aanvullingsrechtig]),"ONBEKEND"))</f>
        <v/>
      </c>
      <c r="R341">
        <f>IF(OR([@Opbouwjaar]="",[@[Type verlof]]=""),0,IFERROR(INDEX(FILTER(tblAanvulling[Totaalbedrag],(tblAanvulling[Mdw.]=[@[Mdw.]])*(tblAanvulling[Bkjr.]=[@Opbouwjaar]),0),1),0))</f>
        <v/>
      </c>
      <c r="S341">
        <f>IF([@Aanvullingsrechtig]="Ja",[@Beginsaldo]*[@Aanvulling_pu],0)</f>
        <v/>
      </c>
      <c r="T341">
        <f>IF(AND([@Opbouwjaar]&lt;&gt;"",[@Beginsaldo]&lt;&gt;0,OR([@Aanvullingsrechtig]="Ja",[@Aanvullingsrechtig]="Nee")),1,0)</f>
        <v/>
      </c>
    </row>
    <row r="342">
      <c r="O342">
        <f>LET(t,[@[Type verlof]],s,SEQUENCE(MAX(1,LEN(t)-3)),k,IFERROR(--MID(t,s,4),0),g,FILTER(k,(k&gt;=2000)*(k&lt;=2100),""),IFERROR(INDEX(g,1),""))</f>
        <v/>
      </c>
      <c r="P342">
        <f>LET(t,[@[Type verlof]],jj,[@Opbouwjaar],s,IF(jj="",t,SUBSTITUTE(t," "&amp;jj,"")),TRIM(s))</f>
        <v/>
      </c>
      <c r="Q342">
        <f>IF([@[Type verlof]]="","",IFERROR(XLOOKUP([@Basis_type],tblInstellingen[Basis verloftype],tblInstellingen[Aanvullingsrechtig]),"ONBEKEND"))</f>
        <v/>
      </c>
      <c r="R342">
        <f>IF(OR([@Opbouwjaar]="",[@[Type verlof]]=""),0,IFERROR(INDEX(FILTER(tblAanvulling[Totaalbedrag],(tblAanvulling[Mdw.]=[@[Mdw.]])*(tblAanvulling[Bkjr.]=[@Opbouwjaar]),0),1),0))</f>
        <v/>
      </c>
      <c r="S342">
        <f>IF([@Aanvullingsrechtig]="Ja",[@Beginsaldo]*[@Aanvulling_pu],0)</f>
        <v/>
      </c>
      <c r="T342">
        <f>IF(AND([@Opbouwjaar]&lt;&gt;"",[@Beginsaldo]&lt;&gt;0,OR([@Aanvullingsrechtig]="Ja",[@Aanvullingsrechtig]="Nee")),1,0)</f>
        <v/>
      </c>
    </row>
    <row r="343">
      <c r="O343">
        <f>LET(t,[@[Type verlof]],s,SEQUENCE(MAX(1,LEN(t)-3)),k,IFERROR(--MID(t,s,4),0),g,FILTER(k,(k&gt;=2000)*(k&lt;=2100),""),IFERROR(INDEX(g,1),""))</f>
        <v/>
      </c>
      <c r="P343">
        <f>LET(t,[@[Type verlof]],jj,[@Opbouwjaar],s,IF(jj="",t,SUBSTITUTE(t," "&amp;jj,"")),TRIM(s))</f>
        <v/>
      </c>
      <c r="Q343">
        <f>IF([@[Type verlof]]="","",IFERROR(XLOOKUP([@Basis_type],tblInstellingen[Basis verloftype],tblInstellingen[Aanvullingsrechtig]),"ONBEKEND"))</f>
        <v/>
      </c>
      <c r="R343">
        <f>IF(OR([@Opbouwjaar]="",[@[Type verlof]]=""),0,IFERROR(INDEX(FILTER(tblAanvulling[Totaalbedrag],(tblAanvulling[Mdw.]=[@[Mdw.]])*(tblAanvulling[Bkjr.]=[@Opbouwjaar]),0),1),0))</f>
        <v/>
      </c>
      <c r="S343">
        <f>IF([@Aanvullingsrechtig]="Ja",[@Beginsaldo]*[@Aanvulling_pu],0)</f>
        <v/>
      </c>
      <c r="T343">
        <f>IF(AND([@Opbouwjaar]&lt;&gt;"",[@Beginsaldo]&lt;&gt;0,OR([@Aanvullingsrechtig]="Ja",[@Aanvullingsrechtig]="Nee")),1,0)</f>
        <v/>
      </c>
    </row>
    <row r="344">
      <c r="O344">
        <f>LET(t,[@[Type verlof]],s,SEQUENCE(MAX(1,LEN(t)-3)),k,IFERROR(--MID(t,s,4),0),g,FILTER(k,(k&gt;=2000)*(k&lt;=2100),""),IFERROR(INDEX(g,1),""))</f>
        <v/>
      </c>
      <c r="P344">
        <f>LET(t,[@[Type verlof]],jj,[@Opbouwjaar],s,IF(jj="",t,SUBSTITUTE(t," "&amp;jj,"")),TRIM(s))</f>
        <v/>
      </c>
      <c r="Q344">
        <f>IF([@[Type verlof]]="","",IFERROR(XLOOKUP([@Basis_type],tblInstellingen[Basis verloftype],tblInstellingen[Aanvullingsrechtig]),"ONBEKEND"))</f>
        <v/>
      </c>
      <c r="R344">
        <f>IF(OR([@Opbouwjaar]="",[@[Type verlof]]=""),0,IFERROR(INDEX(FILTER(tblAanvulling[Totaalbedrag],(tblAanvulling[Mdw.]=[@[Mdw.]])*(tblAanvulling[Bkjr.]=[@Opbouwjaar]),0),1),0))</f>
        <v/>
      </c>
      <c r="S344">
        <f>IF([@Aanvullingsrechtig]="Ja",[@Beginsaldo]*[@Aanvulling_pu],0)</f>
        <v/>
      </c>
      <c r="T344">
        <f>IF(AND([@Opbouwjaar]&lt;&gt;"",[@Beginsaldo]&lt;&gt;0,OR([@Aanvullingsrechtig]="Ja",[@Aanvullingsrechtig]="Nee")),1,0)</f>
        <v/>
      </c>
    </row>
    <row r="345">
      <c r="O345">
        <f>LET(t,[@[Type verlof]],s,SEQUENCE(MAX(1,LEN(t)-3)),k,IFERROR(--MID(t,s,4),0),g,FILTER(k,(k&gt;=2000)*(k&lt;=2100),""),IFERROR(INDEX(g,1),""))</f>
        <v/>
      </c>
      <c r="P345">
        <f>LET(t,[@[Type verlof]],jj,[@Opbouwjaar],s,IF(jj="",t,SUBSTITUTE(t," "&amp;jj,"")),TRIM(s))</f>
        <v/>
      </c>
      <c r="Q345">
        <f>IF([@[Type verlof]]="","",IFERROR(XLOOKUP([@Basis_type],tblInstellingen[Basis verloftype],tblInstellingen[Aanvullingsrechtig]),"ONBEKEND"))</f>
        <v/>
      </c>
      <c r="R345">
        <f>IF(OR([@Opbouwjaar]="",[@[Type verlof]]=""),0,IFERROR(INDEX(FILTER(tblAanvulling[Totaalbedrag],(tblAanvulling[Mdw.]=[@[Mdw.]])*(tblAanvulling[Bkjr.]=[@Opbouwjaar]),0),1),0))</f>
        <v/>
      </c>
      <c r="S345">
        <f>IF([@Aanvullingsrechtig]="Ja",[@Beginsaldo]*[@Aanvulling_pu],0)</f>
        <v/>
      </c>
      <c r="T345">
        <f>IF(AND([@Opbouwjaar]&lt;&gt;"",[@Beginsaldo]&lt;&gt;0,OR([@Aanvullingsrechtig]="Ja",[@Aanvullingsrechtig]="Nee")),1,0)</f>
        <v/>
      </c>
    </row>
    <row r="346">
      <c r="O346">
        <f>LET(t,[@[Type verlof]],s,SEQUENCE(MAX(1,LEN(t)-3)),k,IFERROR(--MID(t,s,4),0),g,FILTER(k,(k&gt;=2000)*(k&lt;=2100),""),IFERROR(INDEX(g,1),""))</f>
        <v/>
      </c>
      <c r="P346">
        <f>LET(t,[@[Type verlof]],jj,[@Opbouwjaar],s,IF(jj="",t,SUBSTITUTE(t," "&amp;jj,"")),TRIM(s))</f>
        <v/>
      </c>
      <c r="Q346">
        <f>IF([@[Type verlof]]="","",IFERROR(XLOOKUP([@Basis_type],tblInstellingen[Basis verloftype],tblInstellingen[Aanvullingsrechtig]),"ONBEKEND"))</f>
        <v/>
      </c>
      <c r="R346">
        <f>IF(OR([@Opbouwjaar]="",[@[Type verlof]]=""),0,IFERROR(INDEX(FILTER(tblAanvulling[Totaalbedrag],(tblAanvulling[Mdw.]=[@[Mdw.]])*(tblAanvulling[Bkjr.]=[@Opbouwjaar]),0),1),0))</f>
        <v/>
      </c>
      <c r="S346">
        <f>IF([@Aanvullingsrechtig]="Ja",[@Beginsaldo]*[@Aanvulling_pu],0)</f>
        <v/>
      </c>
      <c r="T346">
        <f>IF(AND([@Opbouwjaar]&lt;&gt;"",[@Beginsaldo]&lt;&gt;0,OR([@Aanvullingsrechtig]="Ja",[@Aanvullingsrechtig]="Nee")),1,0)</f>
        <v/>
      </c>
    </row>
    <row r="347">
      <c r="O347">
        <f>LET(t,[@[Type verlof]],s,SEQUENCE(MAX(1,LEN(t)-3)),k,IFERROR(--MID(t,s,4),0),g,FILTER(k,(k&gt;=2000)*(k&lt;=2100),""),IFERROR(INDEX(g,1),""))</f>
        <v/>
      </c>
      <c r="P347">
        <f>LET(t,[@[Type verlof]],jj,[@Opbouwjaar],s,IF(jj="",t,SUBSTITUTE(t," "&amp;jj,"")),TRIM(s))</f>
        <v/>
      </c>
      <c r="Q347">
        <f>IF([@[Type verlof]]="","",IFERROR(XLOOKUP([@Basis_type],tblInstellingen[Basis verloftype],tblInstellingen[Aanvullingsrechtig]),"ONBEKEND"))</f>
        <v/>
      </c>
      <c r="R347">
        <f>IF(OR([@Opbouwjaar]="",[@[Type verlof]]=""),0,IFERROR(INDEX(FILTER(tblAanvulling[Totaalbedrag],(tblAanvulling[Mdw.]=[@[Mdw.]])*(tblAanvulling[Bkjr.]=[@Opbouwjaar]),0),1),0))</f>
        <v/>
      </c>
      <c r="S347">
        <f>IF([@Aanvullingsrechtig]="Ja",[@Beginsaldo]*[@Aanvulling_pu],0)</f>
        <v/>
      </c>
      <c r="T347">
        <f>IF(AND([@Opbouwjaar]&lt;&gt;"",[@Beginsaldo]&lt;&gt;0,OR([@Aanvullingsrechtig]="Ja",[@Aanvullingsrechtig]="Nee")),1,0)</f>
        <v/>
      </c>
    </row>
    <row r="348">
      <c r="O348">
        <f>LET(t,[@[Type verlof]],s,SEQUENCE(MAX(1,LEN(t)-3)),k,IFERROR(--MID(t,s,4),0),g,FILTER(k,(k&gt;=2000)*(k&lt;=2100),""),IFERROR(INDEX(g,1),""))</f>
        <v/>
      </c>
      <c r="P348">
        <f>LET(t,[@[Type verlof]],jj,[@Opbouwjaar],s,IF(jj="",t,SUBSTITUTE(t," "&amp;jj,"")),TRIM(s))</f>
        <v/>
      </c>
      <c r="Q348">
        <f>IF([@[Type verlof]]="","",IFERROR(XLOOKUP([@Basis_type],tblInstellingen[Basis verloftype],tblInstellingen[Aanvullingsrechtig]),"ONBEKEND"))</f>
        <v/>
      </c>
      <c r="R348">
        <f>IF(OR([@Opbouwjaar]="",[@[Type verlof]]=""),0,IFERROR(INDEX(FILTER(tblAanvulling[Totaalbedrag],(tblAanvulling[Mdw.]=[@[Mdw.]])*(tblAanvulling[Bkjr.]=[@Opbouwjaar]),0),1),0))</f>
        <v/>
      </c>
      <c r="S348">
        <f>IF([@Aanvullingsrechtig]="Ja",[@Beginsaldo]*[@Aanvulling_pu],0)</f>
        <v/>
      </c>
      <c r="T348">
        <f>IF(AND([@Opbouwjaar]&lt;&gt;"",[@Beginsaldo]&lt;&gt;0,OR([@Aanvullingsrechtig]="Ja",[@Aanvullingsrechtig]="Nee")),1,0)</f>
        <v/>
      </c>
    </row>
    <row r="349">
      <c r="O349">
        <f>LET(t,[@[Type verlof]],s,SEQUENCE(MAX(1,LEN(t)-3)),k,IFERROR(--MID(t,s,4),0),g,FILTER(k,(k&gt;=2000)*(k&lt;=2100),""),IFERROR(INDEX(g,1),""))</f>
        <v/>
      </c>
      <c r="P349">
        <f>LET(t,[@[Type verlof]],jj,[@Opbouwjaar],s,IF(jj="",t,SUBSTITUTE(t," "&amp;jj,"")),TRIM(s))</f>
        <v/>
      </c>
      <c r="Q349">
        <f>IF([@[Type verlof]]="","",IFERROR(XLOOKUP([@Basis_type],tblInstellingen[Basis verloftype],tblInstellingen[Aanvullingsrechtig]),"ONBEKEND"))</f>
        <v/>
      </c>
      <c r="R349">
        <f>IF(OR([@Opbouwjaar]="",[@[Type verlof]]=""),0,IFERROR(INDEX(FILTER(tblAanvulling[Totaalbedrag],(tblAanvulling[Mdw.]=[@[Mdw.]])*(tblAanvulling[Bkjr.]=[@Opbouwjaar]),0),1),0))</f>
        <v/>
      </c>
      <c r="S349">
        <f>IF([@Aanvullingsrechtig]="Ja",[@Beginsaldo]*[@Aanvulling_pu],0)</f>
        <v/>
      </c>
      <c r="T349">
        <f>IF(AND([@Opbouwjaar]&lt;&gt;"",[@Beginsaldo]&lt;&gt;0,OR([@Aanvullingsrechtig]="Ja",[@Aanvullingsrechtig]="Nee")),1,0)</f>
        <v/>
      </c>
    </row>
    <row r="350">
      <c r="O350">
        <f>LET(t,[@[Type verlof]],s,SEQUENCE(MAX(1,LEN(t)-3)),k,IFERROR(--MID(t,s,4),0),g,FILTER(k,(k&gt;=2000)*(k&lt;=2100),""),IFERROR(INDEX(g,1),""))</f>
        <v/>
      </c>
      <c r="P350">
        <f>LET(t,[@[Type verlof]],jj,[@Opbouwjaar],s,IF(jj="",t,SUBSTITUTE(t," "&amp;jj,"")),TRIM(s))</f>
        <v/>
      </c>
      <c r="Q350">
        <f>IF([@[Type verlof]]="","",IFERROR(XLOOKUP([@Basis_type],tblInstellingen[Basis verloftype],tblInstellingen[Aanvullingsrechtig]),"ONBEKEND"))</f>
        <v/>
      </c>
      <c r="R350">
        <f>IF(OR([@Opbouwjaar]="",[@[Type verlof]]=""),0,IFERROR(INDEX(FILTER(tblAanvulling[Totaalbedrag],(tblAanvulling[Mdw.]=[@[Mdw.]])*(tblAanvulling[Bkjr.]=[@Opbouwjaar]),0),1),0))</f>
        <v/>
      </c>
      <c r="S350">
        <f>IF([@Aanvullingsrechtig]="Ja",[@Beginsaldo]*[@Aanvulling_pu],0)</f>
        <v/>
      </c>
      <c r="T350">
        <f>IF(AND([@Opbouwjaar]&lt;&gt;"",[@Beginsaldo]&lt;&gt;0,OR([@Aanvullingsrechtig]="Ja",[@Aanvullingsrechtig]="Nee")),1,0)</f>
        <v/>
      </c>
    </row>
    <row r="351">
      <c r="O351">
        <f>LET(t,[@[Type verlof]],s,SEQUENCE(MAX(1,LEN(t)-3)),k,IFERROR(--MID(t,s,4),0),g,FILTER(k,(k&gt;=2000)*(k&lt;=2100),""),IFERROR(INDEX(g,1),""))</f>
        <v/>
      </c>
      <c r="P351">
        <f>LET(t,[@[Type verlof]],jj,[@Opbouwjaar],s,IF(jj="",t,SUBSTITUTE(t," "&amp;jj,"")),TRIM(s))</f>
        <v/>
      </c>
      <c r="Q351">
        <f>IF([@[Type verlof]]="","",IFERROR(XLOOKUP([@Basis_type],tblInstellingen[Basis verloftype],tblInstellingen[Aanvullingsrechtig]),"ONBEKEND"))</f>
        <v/>
      </c>
      <c r="R351">
        <f>IF(OR([@Opbouwjaar]="",[@[Type verlof]]=""),0,IFERROR(INDEX(FILTER(tblAanvulling[Totaalbedrag],(tblAanvulling[Mdw.]=[@[Mdw.]])*(tblAanvulling[Bkjr.]=[@Opbouwjaar]),0),1),0))</f>
        <v/>
      </c>
      <c r="S351">
        <f>IF([@Aanvullingsrechtig]="Ja",[@Beginsaldo]*[@Aanvulling_pu],0)</f>
        <v/>
      </c>
      <c r="T351">
        <f>IF(AND([@Opbouwjaar]&lt;&gt;"",[@Beginsaldo]&lt;&gt;0,OR([@Aanvullingsrechtig]="Ja",[@Aanvullingsrechtig]="Nee")),1,0)</f>
        <v/>
      </c>
    </row>
    <row r="352">
      <c r="O352">
        <f>LET(t,[@[Type verlof]],s,SEQUENCE(MAX(1,LEN(t)-3)),k,IFERROR(--MID(t,s,4),0),g,FILTER(k,(k&gt;=2000)*(k&lt;=2100),""),IFERROR(INDEX(g,1),""))</f>
        <v/>
      </c>
      <c r="P352">
        <f>LET(t,[@[Type verlof]],jj,[@Opbouwjaar],s,IF(jj="",t,SUBSTITUTE(t," "&amp;jj,"")),TRIM(s))</f>
        <v/>
      </c>
      <c r="Q352">
        <f>IF([@[Type verlof]]="","",IFERROR(XLOOKUP([@Basis_type],tblInstellingen[Basis verloftype],tblInstellingen[Aanvullingsrechtig]),"ONBEKEND"))</f>
        <v/>
      </c>
      <c r="R352">
        <f>IF(OR([@Opbouwjaar]="",[@[Type verlof]]=""),0,IFERROR(INDEX(FILTER(tblAanvulling[Totaalbedrag],(tblAanvulling[Mdw.]=[@[Mdw.]])*(tblAanvulling[Bkjr.]=[@Opbouwjaar]),0),1),0))</f>
        <v/>
      </c>
      <c r="S352">
        <f>IF([@Aanvullingsrechtig]="Ja",[@Beginsaldo]*[@Aanvulling_pu],0)</f>
        <v/>
      </c>
      <c r="T352">
        <f>IF(AND([@Opbouwjaar]&lt;&gt;"",[@Beginsaldo]&lt;&gt;0,OR([@Aanvullingsrechtig]="Ja",[@Aanvullingsrechtig]="Nee")),1,0)</f>
        <v/>
      </c>
    </row>
    <row r="353">
      <c r="O353">
        <f>LET(t,[@[Type verlof]],s,SEQUENCE(MAX(1,LEN(t)-3)),k,IFERROR(--MID(t,s,4),0),g,FILTER(k,(k&gt;=2000)*(k&lt;=2100),""),IFERROR(INDEX(g,1),""))</f>
        <v/>
      </c>
      <c r="P353">
        <f>LET(t,[@[Type verlof]],jj,[@Opbouwjaar],s,IF(jj="",t,SUBSTITUTE(t," "&amp;jj,"")),TRIM(s))</f>
        <v/>
      </c>
      <c r="Q353">
        <f>IF([@[Type verlof]]="","",IFERROR(XLOOKUP([@Basis_type],tblInstellingen[Basis verloftype],tblInstellingen[Aanvullingsrechtig]),"ONBEKEND"))</f>
        <v/>
      </c>
      <c r="R353">
        <f>IF(OR([@Opbouwjaar]="",[@[Type verlof]]=""),0,IFERROR(INDEX(FILTER(tblAanvulling[Totaalbedrag],(tblAanvulling[Mdw.]=[@[Mdw.]])*(tblAanvulling[Bkjr.]=[@Opbouwjaar]),0),1),0))</f>
        <v/>
      </c>
      <c r="S353">
        <f>IF([@Aanvullingsrechtig]="Ja",[@Beginsaldo]*[@Aanvulling_pu],0)</f>
        <v/>
      </c>
      <c r="T353">
        <f>IF(AND([@Opbouwjaar]&lt;&gt;"",[@Beginsaldo]&lt;&gt;0,OR([@Aanvullingsrechtig]="Ja",[@Aanvullingsrechtig]="Nee")),1,0)</f>
        <v/>
      </c>
    </row>
    <row r="354">
      <c r="O354">
        <f>LET(t,[@[Type verlof]],s,SEQUENCE(MAX(1,LEN(t)-3)),k,IFERROR(--MID(t,s,4),0),g,FILTER(k,(k&gt;=2000)*(k&lt;=2100),""),IFERROR(INDEX(g,1),""))</f>
        <v/>
      </c>
      <c r="P354">
        <f>LET(t,[@[Type verlof]],jj,[@Opbouwjaar],s,IF(jj="",t,SUBSTITUTE(t," "&amp;jj,"")),TRIM(s))</f>
        <v/>
      </c>
      <c r="Q354">
        <f>IF([@[Type verlof]]="","",IFERROR(XLOOKUP([@Basis_type],tblInstellingen[Basis verloftype],tblInstellingen[Aanvullingsrechtig]),"ONBEKEND"))</f>
        <v/>
      </c>
      <c r="R354">
        <f>IF(OR([@Opbouwjaar]="",[@[Type verlof]]=""),0,IFERROR(INDEX(FILTER(tblAanvulling[Totaalbedrag],(tblAanvulling[Mdw.]=[@[Mdw.]])*(tblAanvulling[Bkjr.]=[@Opbouwjaar]),0),1),0))</f>
        <v/>
      </c>
      <c r="S354">
        <f>IF([@Aanvullingsrechtig]="Ja",[@Beginsaldo]*[@Aanvulling_pu],0)</f>
        <v/>
      </c>
      <c r="T354">
        <f>IF(AND([@Opbouwjaar]&lt;&gt;"",[@Beginsaldo]&lt;&gt;0,OR([@Aanvullingsrechtig]="Ja",[@Aanvullingsrechtig]="Nee")),1,0)</f>
        <v/>
      </c>
    </row>
    <row r="355">
      <c r="O355">
        <f>LET(t,[@[Type verlof]],s,SEQUENCE(MAX(1,LEN(t)-3)),k,IFERROR(--MID(t,s,4),0),g,FILTER(k,(k&gt;=2000)*(k&lt;=2100),""),IFERROR(INDEX(g,1),""))</f>
        <v/>
      </c>
      <c r="P355">
        <f>LET(t,[@[Type verlof]],jj,[@Opbouwjaar],s,IF(jj="",t,SUBSTITUTE(t," "&amp;jj,"")),TRIM(s))</f>
        <v/>
      </c>
      <c r="Q355">
        <f>IF([@[Type verlof]]="","",IFERROR(XLOOKUP([@Basis_type],tblInstellingen[Basis verloftype],tblInstellingen[Aanvullingsrechtig]),"ONBEKEND"))</f>
        <v/>
      </c>
      <c r="R355">
        <f>IF(OR([@Opbouwjaar]="",[@[Type verlof]]=""),0,IFERROR(INDEX(FILTER(tblAanvulling[Totaalbedrag],(tblAanvulling[Mdw.]=[@[Mdw.]])*(tblAanvulling[Bkjr.]=[@Opbouwjaar]),0),1),0))</f>
        <v/>
      </c>
      <c r="S355">
        <f>IF([@Aanvullingsrechtig]="Ja",[@Beginsaldo]*[@Aanvulling_pu],0)</f>
        <v/>
      </c>
      <c r="T355">
        <f>IF(AND([@Opbouwjaar]&lt;&gt;"",[@Beginsaldo]&lt;&gt;0,OR([@Aanvullingsrechtig]="Ja",[@Aanvullingsrechtig]="Nee")),1,0)</f>
        <v/>
      </c>
    </row>
    <row r="356">
      <c r="O356">
        <f>LET(t,[@[Type verlof]],s,SEQUENCE(MAX(1,LEN(t)-3)),k,IFERROR(--MID(t,s,4),0),g,FILTER(k,(k&gt;=2000)*(k&lt;=2100),""),IFERROR(INDEX(g,1),""))</f>
        <v/>
      </c>
      <c r="P356">
        <f>LET(t,[@[Type verlof]],jj,[@Opbouwjaar],s,IF(jj="",t,SUBSTITUTE(t," "&amp;jj,"")),TRIM(s))</f>
        <v/>
      </c>
      <c r="Q356">
        <f>IF([@[Type verlof]]="","",IFERROR(XLOOKUP([@Basis_type],tblInstellingen[Basis verloftype],tblInstellingen[Aanvullingsrechtig]),"ONBEKEND"))</f>
        <v/>
      </c>
      <c r="R356">
        <f>IF(OR([@Opbouwjaar]="",[@[Type verlof]]=""),0,IFERROR(INDEX(FILTER(tblAanvulling[Totaalbedrag],(tblAanvulling[Mdw.]=[@[Mdw.]])*(tblAanvulling[Bkjr.]=[@Opbouwjaar]),0),1),0))</f>
        <v/>
      </c>
      <c r="S356">
        <f>IF([@Aanvullingsrechtig]="Ja",[@Beginsaldo]*[@Aanvulling_pu],0)</f>
        <v/>
      </c>
      <c r="T356">
        <f>IF(AND([@Opbouwjaar]&lt;&gt;"",[@Beginsaldo]&lt;&gt;0,OR([@Aanvullingsrechtig]="Ja",[@Aanvullingsrechtig]="Nee")),1,0)</f>
        <v/>
      </c>
    </row>
    <row r="357">
      <c r="O357">
        <f>LET(t,[@[Type verlof]],s,SEQUENCE(MAX(1,LEN(t)-3)),k,IFERROR(--MID(t,s,4),0),g,FILTER(k,(k&gt;=2000)*(k&lt;=2100),""),IFERROR(INDEX(g,1),""))</f>
        <v/>
      </c>
      <c r="P357">
        <f>LET(t,[@[Type verlof]],jj,[@Opbouwjaar],s,IF(jj="",t,SUBSTITUTE(t," "&amp;jj,"")),TRIM(s))</f>
        <v/>
      </c>
      <c r="Q357">
        <f>IF([@[Type verlof]]="","",IFERROR(XLOOKUP([@Basis_type],tblInstellingen[Basis verloftype],tblInstellingen[Aanvullingsrechtig]),"ONBEKEND"))</f>
        <v/>
      </c>
      <c r="R357">
        <f>IF(OR([@Opbouwjaar]="",[@[Type verlof]]=""),0,IFERROR(INDEX(FILTER(tblAanvulling[Totaalbedrag],(tblAanvulling[Mdw.]=[@[Mdw.]])*(tblAanvulling[Bkjr.]=[@Opbouwjaar]),0),1),0))</f>
        <v/>
      </c>
      <c r="S357">
        <f>IF([@Aanvullingsrechtig]="Ja",[@Beginsaldo]*[@Aanvulling_pu],0)</f>
        <v/>
      </c>
      <c r="T357">
        <f>IF(AND([@Opbouwjaar]&lt;&gt;"",[@Beginsaldo]&lt;&gt;0,OR([@Aanvullingsrechtig]="Ja",[@Aanvullingsrechtig]="Nee")),1,0)</f>
        <v/>
      </c>
    </row>
    <row r="358">
      <c r="O358">
        <f>LET(t,[@[Type verlof]],s,SEQUENCE(MAX(1,LEN(t)-3)),k,IFERROR(--MID(t,s,4),0),g,FILTER(k,(k&gt;=2000)*(k&lt;=2100),""),IFERROR(INDEX(g,1),""))</f>
        <v/>
      </c>
      <c r="P358">
        <f>LET(t,[@[Type verlof]],jj,[@Opbouwjaar],s,IF(jj="",t,SUBSTITUTE(t," "&amp;jj,"")),TRIM(s))</f>
        <v/>
      </c>
      <c r="Q358">
        <f>IF([@[Type verlof]]="","",IFERROR(XLOOKUP([@Basis_type],tblInstellingen[Basis verloftype],tblInstellingen[Aanvullingsrechtig]),"ONBEKEND"))</f>
        <v/>
      </c>
      <c r="R358">
        <f>IF(OR([@Opbouwjaar]="",[@[Type verlof]]=""),0,IFERROR(INDEX(FILTER(tblAanvulling[Totaalbedrag],(tblAanvulling[Mdw.]=[@[Mdw.]])*(tblAanvulling[Bkjr.]=[@Opbouwjaar]),0),1),0))</f>
        <v/>
      </c>
      <c r="S358">
        <f>IF([@Aanvullingsrechtig]="Ja",[@Beginsaldo]*[@Aanvulling_pu],0)</f>
        <v/>
      </c>
      <c r="T358">
        <f>IF(AND([@Opbouwjaar]&lt;&gt;"",[@Beginsaldo]&lt;&gt;0,OR([@Aanvullingsrechtig]="Ja",[@Aanvullingsrechtig]="Nee")),1,0)</f>
        <v/>
      </c>
    </row>
    <row r="359">
      <c r="O359">
        <f>LET(t,[@[Type verlof]],s,SEQUENCE(MAX(1,LEN(t)-3)),k,IFERROR(--MID(t,s,4),0),g,FILTER(k,(k&gt;=2000)*(k&lt;=2100),""),IFERROR(INDEX(g,1),""))</f>
        <v/>
      </c>
      <c r="P359">
        <f>LET(t,[@[Type verlof]],jj,[@Opbouwjaar],s,IF(jj="",t,SUBSTITUTE(t," "&amp;jj,"")),TRIM(s))</f>
        <v/>
      </c>
      <c r="Q359">
        <f>IF([@[Type verlof]]="","",IFERROR(XLOOKUP([@Basis_type],tblInstellingen[Basis verloftype],tblInstellingen[Aanvullingsrechtig]),"ONBEKEND"))</f>
        <v/>
      </c>
      <c r="R359">
        <f>IF(OR([@Opbouwjaar]="",[@[Type verlof]]=""),0,IFERROR(INDEX(FILTER(tblAanvulling[Totaalbedrag],(tblAanvulling[Mdw.]=[@[Mdw.]])*(tblAanvulling[Bkjr.]=[@Opbouwjaar]),0),1),0))</f>
        <v/>
      </c>
      <c r="S359">
        <f>IF([@Aanvullingsrechtig]="Ja",[@Beginsaldo]*[@Aanvulling_pu],0)</f>
        <v/>
      </c>
      <c r="T359">
        <f>IF(AND([@Opbouwjaar]&lt;&gt;"",[@Beginsaldo]&lt;&gt;0,OR([@Aanvullingsrechtig]="Ja",[@Aanvullingsrechtig]="Nee")),1,0)</f>
        <v/>
      </c>
    </row>
    <row r="360">
      <c r="O360">
        <f>LET(t,[@[Type verlof]],s,SEQUENCE(MAX(1,LEN(t)-3)),k,IFERROR(--MID(t,s,4),0),g,FILTER(k,(k&gt;=2000)*(k&lt;=2100),""),IFERROR(INDEX(g,1),""))</f>
        <v/>
      </c>
      <c r="P360">
        <f>LET(t,[@[Type verlof]],jj,[@Opbouwjaar],s,IF(jj="",t,SUBSTITUTE(t," "&amp;jj,"")),TRIM(s))</f>
        <v/>
      </c>
      <c r="Q360">
        <f>IF([@[Type verlof]]="","",IFERROR(XLOOKUP([@Basis_type],tblInstellingen[Basis verloftype],tblInstellingen[Aanvullingsrechtig]),"ONBEKEND"))</f>
        <v/>
      </c>
      <c r="R360">
        <f>IF(OR([@Opbouwjaar]="",[@[Type verlof]]=""),0,IFERROR(INDEX(FILTER(tblAanvulling[Totaalbedrag],(tblAanvulling[Mdw.]=[@[Mdw.]])*(tblAanvulling[Bkjr.]=[@Opbouwjaar]),0),1),0))</f>
        <v/>
      </c>
      <c r="S360">
        <f>IF([@Aanvullingsrechtig]="Ja",[@Beginsaldo]*[@Aanvulling_pu],0)</f>
        <v/>
      </c>
      <c r="T360">
        <f>IF(AND([@Opbouwjaar]&lt;&gt;"",[@Beginsaldo]&lt;&gt;0,OR([@Aanvullingsrechtig]="Ja",[@Aanvullingsrechtig]="Nee")),1,0)</f>
        <v/>
      </c>
    </row>
    <row r="361">
      <c r="O361">
        <f>LET(t,[@[Type verlof]],s,SEQUENCE(MAX(1,LEN(t)-3)),k,IFERROR(--MID(t,s,4),0),g,FILTER(k,(k&gt;=2000)*(k&lt;=2100),""),IFERROR(INDEX(g,1),""))</f>
        <v/>
      </c>
      <c r="P361">
        <f>LET(t,[@[Type verlof]],jj,[@Opbouwjaar],s,IF(jj="",t,SUBSTITUTE(t," "&amp;jj,"")),TRIM(s))</f>
        <v/>
      </c>
      <c r="Q361">
        <f>IF([@[Type verlof]]="","",IFERROR(XLOOKUP([@Basis_type],tblInstellingen[Basis verloftype],tblInstellingen[Aanvullingsrechtig]),"ONBEKEND"))</f>
        <v/>
      </c>
      <c r="R361">
        <f>IF(OR([@Opbouwjaar]="",[@[Type verlof]]=""),0,IFERROR(INDEX(FILTER(tblAanvulling[Totaalbedrag],(tblAanvulling[Mdw.]=[@[Mdw.]])*(tblAanvulling[Bkjr.]=[@Opbouwjaar]),0),1),0))</f>
        <v/>
      </c>
      <c r="S361">
        <f>IF([@Aanvullingsrechtig]="Ja",[@Beginsaldo]*[@Aanvulling_pu],0)</f>
        <v/>
      </c>
      <c r="T361">
        <f>IF(AND([@Opbouwjaar]&lt;&gt;"",[@Beginsaldo]&lt;&gt;0,OR([@Aanvullingsrechtig]="Ja",[@Aanvullingsrechtig]="Nee")),1,0)</f>
        <v/>
      </c>
    </row>
    <row r="362">
      <c r="O362">
        <f>LET(t,[@[Type verlof]],s,SEQUENCE(MAX(1,LEN(t)-3)),k,IFERROR(--MID(t,s,4),0),g,FILTER(k,(k&gt;=2000)*(k&lt;=2100),""),IFERROR(INDEX(g,1),""))</f>
        <v/>
      </c>
      <c r="P362">
        <f>LET(t,[@[Type verlof]],jj,[@Opbouwjaar],s,IF(jj="",t,SUBSTITUTE(t," "&amp;jj,"")),TRIM(s))</f>
        <v/>
      </c>
      <c r="Q362">
        <f>IF([@[Type verlof]]="","",IFERROR(XLOOKUP([@Basis_type],tblInstellingen[Basis verloftype],tblInstellingen[Aanvullingsrechtig]),"ONBEKEND"))</f>
        <v/>
      </c>
      <c r="R362">
        <f>IF(OR([@Opbouwjaar]="",[@[Type verlof]]=""),0,IFERROR(INDEX(FILTER(tblAanvulling[Totaalbedrag],(tblAanvulling[Mdw.]=[@[Mdw.]])*(tblAanvulling[Bkjr.]=[@Opbouwjaar]),0),1),0))</f>
        <v/>
      </c>
      <c r="S362">
        <f>IF([@Aanvullingsrechtig]="Ja",[@Beginsaldo]*[@Aanvulling_pu],0)</f>
        <v/>
      </c>
      <c r="T362">
        <f>IF(AND([@Opbouwjaar]&lt;&gt;"",[@Beginsaldo]&lt;&gt;0,OR([@Aanvullingsrechtig]="Ja",[@Aanvullingsrechtig]="Nee")),1,0)</f>
        <v/>
      </c>
    </row>
    <row r="363">
      <c r="O363">
        <f>LET(t,[@[Type verlof]],s,SEQUENCE(MAX(1,LEN(t)-3)),k,IFERROR(--MID(t,s,4),0),g,FILTER(k,(k&gt;=2000)*(k&lt;=2100),""),IFERROR(INDEX(g,1),""))</f>
        <v/>
      </c>
      <c r="P363">
        <f>LET(t,[@[Type verlof]],jj,[@Opbouwjaar],s,IF(jj="",t,SUBSTITUTE(t," "&amp;jj,"")),TRIM(s))</f>
        <v/>
      </c>
      <c r="Q363">
        <f>IF([@[Type verlof]]="","",IFERROR(XLOOKUP([@Basis_type],tblInstellingen[Basis verloftype],tblInstellingen[Aanvullingsrechtig]),"ONBEKEND"))</f>
        <v/>
      </c>
      <c r="R363">
        <f>IF(OR([@Opbouwjaar]="",[@[Type verlof]]=""),0,IFERROR(INDEX(FILTER(tblAanvulling[Totaalbedrag],(tblAanvulling[Mdw.]=[@[Mdw.]])*(tblAanvulling[Bkjr.]=[@Opbouwjaar]),0),1),0))</f>
        <v/>
      </c>
      <c r="S363">
        <f>IF([@Aanvullingsrechtig]="Ja",[@Beginsaldo]*[@Aanvulling_pu],0)</f>
        <v/>
      </c>
      <c r="T363">
        <f>IF(AND([@Opbouwjaar]&lt;&gt;"",[@Beginsaldo]&lt;&gt;0,OR([@Aanvullingsrechtig]="Ja",[@Aanvullingsrechtig]="Nee")),1,0)</f>
        <v/>
      </c>
    </row>
    <row r="364">
      <c r="O364">
        <f>LET(t,[@[Type verlof]],s,SEQUENCE(MAX(1,LEN(t)-3)),k,IFERROR(--MID(t,s,4),0),g,FILTER(k,(k&gt;=2000)*(k&lt;=2100),""),IFERROR(INDEX(g,1),""))</f>
        <v/>
      </c>
      <c r="P364">
        <f>LET(t,[@[Type verlof]],jj,[@Opbouwjaar],s,IF(jj="",t,SUBSTITUTE(t," "&amp;jj,"")),TRIM(s))</f>
        <v/>
      </c>
      <c r="Q364">
        <f>IF([@[Type verlof]]="","",IFERROR(XLOOKUP([@Basis_type],tblInstellingen[Basis verloftype],tblInstellingen[Aanvullingsrechtig]),"ONBEKEND"))</f>
        <v/>
      </c>
      <c r="R364">
        <f>IF(OR([@Opbouwjaar]="",[@[Type verlof]]=""),0,IFERROR(INDEX(FILTER(tblAanvulling[Totaalbedrag],(tblAanvulling[Mdw.]=[@[Mdw.]])*(tblAanvulling[Bkjr.]=[@Opbouwjaar]),0),1),0))</f>
        <v/>
      </c>
      <c r="S364">
        <f>IF([@Aanvullingsrechtig]="Ja",[@Beginsaldo]*[@Aanvulling_pu],0)</f>
        <v/>
      </c>
      <c r="T364">
        <f>IF(AND([@Opbouwjaar]&lt;&gt;"",[@Beginsaldo]&lt;&gt;0,OR([@Aanvullingsrechtig]="Ja",[@Aanvullingsrechtig]="Nee")),1,0)</f>
        <v/>
      </c>
    </row>
    <row r="365">
      <c r="O365">
        <f>LET(t,[@[Type verlof]],s,SEQUENCE(MAX(1,LEN(t)-3)),k,IFERROR(--MID(t,s,4),0),g,FILTER(k,(k&gt;=2000)*(k&lt;=2100),""),IFERROR(INDEX(g,1),""))</f>
        <v/>
      </c>
      <c r="P365">
        <f>LET(t,[@[Type verlof]],jj,[@Opbouwjaar],s,IF(jj="",t,SUBSTITUTE(t," "&amp;jj,"")),TRIM(s))</f>
        <v/>
      </c>
      <c r="Q365">
        <f>IF([@[Type verlof]]="","",IFERROR(XLOOKUP([@Basis_type],tblInstellingen[Basis verloftype],tblInstellingen[Aanvullingsrechtig]),"ONBEKEND"))</f>
        <v/>
      </c>
      <c r="R365">
        <f>IF(OR([@Opbouwjaar]="",[@[Type verlof]]=""),0,IFERROR(INDEX(FILTER(tblAanvulling[Totaalbedrag],(tblAanvulling[Mdw.]=[@[Mdw.]])*(tblAanvulling[Bkjr.]=[@Opbouwjaar]),0),1),0))</f>
        <v/>
      </c>
      <c r="S365">
        <f>IF([@Aanvullingsrechtig]="Ja",[@Beginsaldo]*[@Aanvulling_pu],0)</f>
        <v/>
      </c>
      <c r="T365">
        <f>IF(AND([@Opbouwjaar]&lt;&gt;"",[@Beginsaldo]&lt;&gt;0,OR([@Aanvullingsrechtig]="Ja",[@Aanvullingsrechtig]="Nee")),1,0)</f>
        <v/>
      </c>
    </row>
    <row r="366">
      <c r="O366">
        <f>LET(t,[@[Type verlof]],s,SEQUENCE(MAX(1,LEN(t)-3)),k,IFERROR(--MID(t,s,4),0),g,FILTER(k,(k&gt;=2000)*(k&lt;=2100),""),IFERROR(INDEX(g,1),""))</f>
        <v/>
      </c>
      <c r="P366">
        <f>LET(t,[@[Type verlof]],jj,[@Opbouwjaar],s,IF(jj="",t,SUBSTITUTE(t," "&amp;jj,"")),TRIM(s))</f>
        <v/>
      </c>
      <c r="Q366">
        <f>IF([@[Type verlof]]="","",IFERROR(XLOOKUP([@Basis_type],tblInstellingen[Basis verloftype],tblInstellingen[Aanvullingsrechtig]),"ONBEKEND"))</f>
        <v/>
      </c>
      <c r="R366">
        <f>IF(OR([@Opbouwjaar]="",[@[Type verlof]]=""),0,IFERROR(INDEX(FILTER(tblAanvulling[Totaalbedrag],(tblAanvulling[Mdw.]=[@[Mdw.]])*(tblAanvulling[Bkjr.]=[@Opbouwjaar]),0),1),0))</f>
        <v/>
      </c>
      <c r="S366">
        <f>IF([@Aanvullingsrechtig]="Ja",[@Beginsaldo]*[@Aanvulling_pu],0)</f>
        <v/>
      </c>
      <c r="T366">
        <f>IF(AND([@Opbouwjaar]&lt;&gt;"",[@Beginsaldo]&lt;&gt;0,OR([@Aanvullingsrechtig]="Ja",[@Aanvullingsrechtig]="Nee")),1,0)</f>
        <v/>
      </c>
    </row>
    <row r="367">
      <c r="O367">
        <f>LET(t,[@[Type verlof]],s,SEQUENCE(MAX(1,LEN(t)-3)),k,IFERROR(--MID(t,s,4),0),g,FILTER(k,(k&gt;=2000)*(k&lt;=2100),""),IFERROR(INDEX(g,1),""))</f>
        <v/>
      </c>
      <c r="P367">
        <f>LET(t,[@[Type verlof]],jj,[@Opbouwjaar],s,IF(jj="",t,SUBSTITUTE(t," "&amp;jj,"")),TRIM(s))</f>
        <v/>
      </c>
      <c r="Q367">
        <f>IF([@[Type verlof]]="","",IFERROR(XLOOKUP([@Basis_type],tblInstellingen[Basis verloftype],tblInstellingen[Aanvullingsrechtig]),"ONBEKEND"))</f>
        <v/>
      </c>
      <c r="R367">
        <f>IF(OR([@Opbouwjaar]="",[@[Type verlof]]=""),0,IFERROR(INDEX(FILTER(tblAanvulling[Totaalbedrag],(tblAanvulling[Mdw.]=[@[Mdw.]])*(tblAanvulling[Bkjr.]=[@Opbouwjaar]),0),1),0))</f>
        <v/>
      </c>
      <c r="S367">
        <f>IF([@Aanvullingsrechtig]="Ja",[@Beginsaldo]*[@Aanvulling_pu],0)</f>
        <v/>
      </c>
      <c r="T367">
        <f>IF(AND([@Opbouwjaar]&lt;&gt;"",[@Beginsaldo]&lt;&gt;0,OR([@Aanvullingsrechtig]="Ja",[@Aanvullingsrechtig]="Nee")),1,0)</f>
        <v/>
      </c>
    </row>
    <row r="368">
      <c r="O368">
        <f>LET(t,[@[Type verlof]],s,SEQUENCE(MAX(1,LEN(t)-3)),k,IFERROR(--MID(t,s,4),0),g,FILTER(k,(k&gt;=2000)*(k&lt;=2100),""),IFERROR(INDEX(g,1),""))</f>
        <v/>
      </c>
      <c r="P368">
        <f>LET(t,[@[Type verlof]],jj,[@Opbouwjaar],s,IF(jj="",t,SUBSTITUTE(t," "&amp;jj,"")),TRIM(s))</f>
        <v/>
      </c>
      <c r="Q368">
        <f>IF([@[Type verlof]]="","",IFERROR(XLOOKUP([@Basis_type],tblInstellingen[Basis verloftype],tblInstellingen[Aanvullingsrechtig]),"ONBEKEND"))</f>
        <v/>
      </c>
      <c r="R368">
        <f>IF(OR([@Opbouwjaar]="",[@[Type verlof]]=""),0,IFERROR(INDEX(FILTER(tblAanvulling[Totaalbedrag],(tblAanvulling[Mdw.]=[@[Mdw.]])*(tblAanvulling[Bkjr.]=[@Opbouwjaar]),0),1),0))</f>
        <v/>
      </c>
      <c r="S368">
        <f>IF([@Aanvullingsrechtig]="Ja",[@Beginsaldo]*[@Aanvulling_pu],0)</f>
        <v/>
      </c>
      <c r="T368">
        <f>IF(AND([@Opbouwjaar]&lt;&gt;"",[@Beginsaldo]&lt;&gt;0,OR([@Aanvullingsrechtig]="Ja",[@Aanvullingsrechtig]="Nee")),1,0)</f>
        <v/>
      </c>
    </row>
    <row r="369">
      <c r="O369">
        <f>LET(t,[@[Type verlof]],s,SEQUENCE(MAX(1,LEN(t)-3)),k,IFERROR(--MID(t,s,4),0),g,FILTER(k,(k&gt;=2000)*(k&lt;=2100),""),IFERROR(INDEX(g,1),""))</f>
        <v/>
      </c>
      <c r="P369">
        <f>LET(t,[@[Type verlof]],jj,[@Opbouwjaar],s,IF(jj="",t,SUBSTITUTE(t," "&amp;jj,"")),TRIM(s))</f>
        <v/>
      </c>
      <c r="Q369">
        <f>IF([@[Type verlof]]="","",IFERROR(XLOOKUP([@Basis_type],tblInstellingen[Basis verloftype],tblInstellingen[Aanvullingsrechtig]),"ONBEKEND"))</f>
        <v/>
      </c>
      <c r="R369">
        <f>IF(OR([@Opbouwjaar]="",[@[Type verlof]]=""),0,IFERROR(INDEX(FILTER(tblAanvulling[Totaalbedrag],(tblAanvulling[Mdw.]=[@[Mdw.]])*(tblAanvulling[Bkjr.]=[@Opbouwjaar]),0),1),0))</f>
        <v/>
      </c>
      <c r="S369">
        <f>IF([@Aanvullingsrechtig]="Ja",[@Beginsaldo]*[@Aanvulling_pu],0)</f>
        <v/>
      </c>
      <c r="T369">
        <f>IF(AND([@Opbouwjaar]&lt;&gt;"",[@Beginsaldo]&lt;&gt;0,OR([@Aanvullingsrechtig]="Ja",[@Aanvullingsrechtig]="Nee")),1,0)</f>
        <v/>
      </c>
    </row>
    <row r="370">
      <c r="O370">
        <f>LET(t,[@[Type verlof]],s,SEQUENCE(MAX(1,LEN(t)-3)),k,IFERROR(--MID(t,s,4),0),g,FILTER(k,(k&gt;=2000)*(k&lt;=2100),""),IFERROR(INDEX(g,1),""))</f>
        <v/>
      </c>
      <c r="P370">
        <f>LET(t,[@[Type verlof]],jj,[@Opbouwjaar],s,IF(jj="",t,SUBSTITUTE(t," "&amp;jj,"")),TRIM(s))</f>
        <v/>
      </c>
      <c r="Q370">
        <f>IF([@[Type verlof]]="","",IFERROR(XLOOKUP([@Basis_type],tblInstellingen[Basis verloftype],tblInstellingen[Aanvullingsrechtig]),"ONBEKEND"))</f>
        <v/>
      </c>
      <c r="R370">
        <f>IF(OR([@Opbouwjaar]="",[@[Type verlof]]=""),0,IFERROR(INDEX(FILTER(tblAanvulling[Totaalbedrag],(tblAanvulling[Mdw.]=[@[Mdw.]])*(tblAanvulling[Bkjr.]=[@Opbouwjaar]),0),1),0))</f>
        <v/>
      </c>
      <c r="S370">
        <f>IF([@Aanvullingsrechtig]="Ja",[@Beginsaldo]*[@Aanvulling_pu],0)</f>
        <v/>
      </c>
      <c r="T370">
        <f>IF(AND([@Opbouwjaar]&lt;&gt;"",[@Beginsaldo]&lt;&gt;0,OR([@Aanvullingsrechtig]="Ja",[@Aanvullingsrechtig]="Nee")),1,0)</f>
        <v/>
      </c>
    </row>
    <row r="371">
      <c r="O371">
        <f>LET(t,[@[Type verlof]],s,SEQUENCE(MAX(1,LEN(t)-3)),k,IFERROR(--MID(t,s,4),0),g,FILTER(k,(k&gt;=2000)*(k&lt;=2100),""),IFERROR(INDEX(g,1),""))</f>
        <v/>
      </c>
      <c r="P371">
        <f>LET(t,[@[Type verlof]],jj,[@Opbouwjaar],s,IF(jj="",t,SUBSTITUTE(t," "&amp;jj,"")),TRIM(s))</f>
        <v/>
      </c>
      <c r="Q371">
        <f>IF([@[Type verlof]]="","",IFERROR(XLOOKUP([@Basis_type],tblInstellingen[Basis verloftype],tblInstellingen[Aanvullingsrechtig]),"ONBEKEND"))</f>
        <v/>
      </c>
      <c r="R371">
        <f>IF(OR([@Opbouwjaar]="",[@[Type verlof]]=""),0,IFERROR(INDEX(FILTER(tblAanvulling[Totaalbedrag],(tblAanvulling[Mdw.]=[@[Mdw.]])*(tblAanvulling[Bkjr.]=[@Opbouwjaar]),0),1),0))</f>
        <v/>
      </c>
      <c r="S371">
        <f>IF([@Aanvullingsrechtig]="Ja",[@Beginsaldo]*[@Aanvulling_pu],0)</f>
        <v/>
      </c>
      <c r="T371">
        <f>IF(AND([@Opbouwjaar]&lt;&gt;"",[@Beginsaldo]&lt;&gt;0,OR([@Aanvullingsrechtig]="Ja",[@Aanvullingsrechtig]="Nee")),1,0)</f>
        <v/>
      </c>
    </row>
    <row r="372">
      <c r="O372">
        <f>LET(t,[@[Type verlof]],s,SEQUENCE(MAX(1,LEN(t)-3)),k,IFERROR(--MID(t,s,4),0),g,FILTER(k,(k&gt;=2000)*(k&lt;=2100),""),IFERROR(INDEX(g,1),""))</f>
        <v/>
      </c>
      <c r="P372">
        <f>LET(t,[@[Type verlof]],jj,[@Opbouwjaar],s,IF(jj="",t,SUBSTITUTE(t," "&amp;jj,"")),TRIM(s))</f>
        <v/>
      </c>
      <c r="Q372">
        <f>IF([@[Type verlof]]="","",IFERROR(XLOOKUP([@Basis_type],tblInstellingen[Basis verloftype],tblInstellingen[Aanvullingsrechtig]),"ONBEKEND"))</f>
        <v/>
      </c>
      <c r="R372">
        <f>IF(OR([@Opbouwjaar]="",[@[Type verlof]]=""),0,IFERROR(INDEX(FILTER(tblAanvulling[Totaalbedrag],(tblAanvulling[Mdw.]=[@[Mdw.]])*(tblAanvulling[Bkjr.]=[@Opbouwjaar]),0),1),0))</f>
        <v/>
      </c>
      <c r="S372">
        <f>IF([@Aanvullingsrechtig]="Ja",[@Beginsaldo]*[@Aanvulling_pu],0)</f>
        <v/>
      </c>
      <c r="T372">
        <f>IF(AND([@Opbouwjaar]&lt;&gt;"",[@Beginsaldo]&lt;&gt;0,OR([@Aanvullingsrechtig]="Ja",[@Aanvullingsrechtig]="Nee")),1,0)</f>
        <v/>
      </c>
    </row>
    <row r="373">
      <c r="O373">
        <f>LET(t,[@[Type verlof]],s,SEQUENCE(MAX(1,LEN(t)-3)),k,IFERROR(--MID(t,s,4),0),g,FILTER(k,(k&gt;=2000)*(k&lt;=2100),""),IFERROR(INDEX(g,1),""))</f>
        <v/>
      </c>
      <c r="P373">
        <f>LET(t,[@[Type verlof]],jj,[@Opbouwjaar],s,IF(jj="",t,SUBSTITUTE(t," "&amp;jj,"")),TRIM(s))</f>
        <v/>
      </c>
      <c r="Q373">
        <f>IF([@[Type verlof]]="","",IFERROR(XLOOKUP([@Basis_type],tblInstellingen[Basis verloftype],tblInstellingen[Aanvullingsrechtig]),"ONBEKEND"))</f>
        <v/>
      </c>
      <c r="R373">
        <f>IF(OR([@Opbouwjaar]="",[@[Type verlof]]=""),0,IFERROR(INDEX(FILTER(tblAanvulling[Totaalbedrag],(tblAanvulling[Mdw.]=[@[Mdw.]])*(tblAanvulling[Bkjr.]=[@Opbouwjaar]),0),1),0))</f>
        <v/>
      </c>
      <c r="S373">
        <f>IF([@Aanvullingsrechtig]="Ja",[@Beginsaldo]*[@Aanvulling_pu],0)</f>
        <v/>
      </c>
      <c r="T373">
        <f>IF(AND([@Opbouwjaar]&lt;&gt;"",[@Beginsaldo]&lt;&gt;0,OR([@Aanvullingsrechtig]="Ja",[@Aanvullingsrechtig]="Nee")),1,0)</f>
        <v/>
      </c>
    </row>
    <row r="374">
      <c r="O374">
        <f>LET(t,[@[Type verlof]],s,SEQUENCE(MAX(1,LEN(t)-3)),k,IFERROR(--MID(t,s,4),0),g,FILTER(k,(k&gt;=2000)*(k&lt;=2100),""),IFERROR(INDEX(g,1),""))</f>
        <v/>
      </c>
      <c r="P374">
        <f>LET(t,[@[Type verlof]],jj,[@Opbouwjaar],s,IF(jj="",t,SUBSTITUTE(t," "&amp;jj,"")),TRIM(s))</f>
        <v/>
      </c>
      <c r="Q374">
        <f>IF([@[Type verlof]]="","",IFERROR(XLOOKUP([@Basis_type],tblInstellingen[Basis verloftype],tblInstellingen[Aanvullingsrechtig]),"ONBEKEND"))</f>
        <v/>
      </c>
      <c r="R374">
        <f>IF(OR([@Opbouwjaar]="",[@[Type verlof]]=""),0,IFERROR(INDEX(FILTER(tblAanvulling[Totaalbedrag],(tblAanvulling[Mdw.]=[@[Mdw.]])*(tblAanvulling[Bkjr.]=[@Opbouwjaar]),0),1),0))</f>
        <v/>
      </c>
      <c r="S374">
        <f>IF([@Aanvullingsrechtig]="Ja",[@Beginsaldo]*[@Aanvulling_pu],0)</f>
        <v/>
      </c>
      <c r="T374">
        <f>IF(AND([@Opbouwjaar]&lt;&gt;"",[@Beginsaldo]&lt;&gt;0,OR([@Aanvullingsrechtig]="Ja",[@Aanvullingsrechtig]="Nee")),1,0)</f>
        <v/>
      </c>
    </row>
    <row r="375">
      <c r="O375">
        <f>LET(t,[@[Type verlof]],s,SEQUENCE(MAX(1,LEN(t)-3)),k,IFERROR(--MID(t,s,4),0),g,FILTER(k,(k&gt;=2000)*(k&lt;=2100),""),IFERROR(INDEX(g,1),""))</f>
        <v/>
      </c>
      <c r="P375">
        <f>LET(t,[@[Type verlof]],jj,[@Opbouwjaar],s,IF(jj="",t,SUBSTITUTE(t," "&amp;jj,"")),TRIM(s))</f>
        <v/>
      </c>
      <c r="Q375">
        <f>IF([@[Type verlof]]="","",IFERROR(XLOOKUP([@Basis_type],tblInstellingen[Basis verloftype],tblInstellingen[Aanvullingsrechtig]),"ONBEKEND"))</f>
        <v/>
      </c>
      <c r="R375">
        <f>IF(OR([@Opbouwjaar]="",[@[Type verlof]]=""),0,IFERROR(INDEX(FILTER(tblAanvulling[Totaalbedrag],(tblAanvulling[Mdw.]=[@[Mdw.]])*(tblAanvulling[Bkjr.]=[@Opbouwjaar]),0),1),0))</f>
        <v/>
      </c>
      <c r="S375">
        <f>IF([@Aanvullingsrechtig]="Ja",[@Beginsaldo]*[@Aanvulling_pu],0)</f>
        <v/>
      </c>
      <c r="T375">
        <f>IF(AND([@Opbouwjaar]&lt;&gt;"",[@Beginsaldo]&lt;&gt;0,OR([@Aanvullingsrechtig]="Ja",[@Aanvullingsrechtig]="Nee")),1,0)</f>
        <v/>
      </c>
    </row>
    <row r="376">
      <c r="O376">
        <f>LET(t,[@[Type verlof]],s,SEQUENCE(MAX(1,LEN(t)-3)),k,IFERROR(--MID(t,s,4),0),g,FILTER(k,(k&gt;=2000)*(k&lt;=2100),""),IFERROR(INDEX(g,1),""))</f>
        <v/>
      </c>
      <c r="P376">
        <f>LET(t,[@[Type verlof]],jj,[@Opbouwjaar],s,IF(jj="",t,SUBSTITUTE(t," "&amp;jj,"")),TRIM(s))</f>
        <v/>
      </c>
      <c r="Q376">
        <f>IF([@[Type verlof]]="","",IFERROR(XLOOKUP([@Basis_type],tblInstellingen[Basis verloftype],tblInstellingen[Aanvullingsrechtig]),"ONBEKEND"))</f>
        <v/>
      </c>
      <c r="R376">
        <f>IF(OR([@Opbouwjaar]="",[@[Type verlof]]=""),0,IFERROR(INDEX(FILTER(tblAanvulling[Totaalbedrag],(tblAanvulling[Mdw.]=[@[Mdw.]])*(tblAanvulling[Bkjr.]=[@Opbouwjaar]),0),1),0))</f>
        <v/>
      </c>
      <c r="S376">
        <f>IF([@Aanvullingsrechtig]="Ja",[@Beginsaldo]*[@Aanvulling_pu],0)</f>
        <v/>
      </c>
      <c r="T376">
        <f>IF(AND([@Opbouwjaar]&lt;&gt;"",[@Beginsaldo]&lt;&gt;0,OR([@Aanvullingsrechtig]="Ja",[@Aanvullingsrechtig]="Nee")),1,0)</f>
        <v/>
      </c>
    </row>
    <row r="377">
      <c r="O377">
        <f>LET(t,[@[Type verlof]],s,SEQUENCE(MAX(1,LEN(t)-3)),k,IFERROR(--MID(t,s,4),0),g,FILTER(k,(k&gt;=2000)*(k&lt;=2100),""),IFERROR(INDEX(g,1),""))</f>
        <v/>
      </c>
      <c r="P377">
        <f>LET(t,[@[Type verlof]],jj,[@Opbouwjaar],s,IF(jj="",t,SUBSTITUTE(t," "&amp;jj,"")),TRIM(s))</f>
        <v/>
      </c>
      <c r="Q377">
        <f>IF([@[Type verlof]]="","",IFERROR(XLOOKUP([@Basis_type],tblInstellingen[Basis verloftype],tblInstellingen[Aanvullingsrechtig]),"ONBEKEND"))</f>
        <v/>
      </c>
      <c r="R377">
        <f>IF(OR([@Opbouwjaar]="",[@[Type verlof]]=""),0,IFERROR(INDEX(FILTER(tblAanvulling[Totaalbedrag],(tblAanvulling[Mdw.]=[@[Mdw.]])*(tblAanvulling[Bkjr.]=[@Opbouwjaar]),0),1),0))</f>
        <v/>
      </c>
      <c r="S377">
        <f>IF([@Aanvullingsrechtig]="Ja",[@Beginsaldo]*[@Aanvulling_pu],0)</f>
        <v/>
      </c>
      <c r="T377">
        <f>IF(AND([@Opbouwjaar]&lt;&gt;"",[@Beginsaldo]&lt;&gt;0,OR([@Aanvullingsrechtig]="Ja",[@Aanvullingsrechtig]="Nee")),1,0)</f>
        <v/>
      </c>
    </row>
    <row r="378">
      <c r="O378">
        <f>LET(t,[@[Type verlof]],s,SEQUENCE(MAX(1,LEN(t)-3)),k,IFERROR(--MID(t,s,4),0),g,FILTER(k,(k&gt;=2000)*(k&lt;=2100),""),IFERROR(INDEX(g,1),""))</f>
        <v/>
      </c>
      <c r="P378">
        <f>LET(t,[@[Type verlof]],jj,[@Opbouwjaar],s,IF(jj="",t,SUBSTITUTE(t," "&amp;jj,"")),TRIM(s))</f>
        <v/>
      </c>
      <c r="Q378">
        <f>IF([@[Type verlof]]="","",IFERROR(XLOOKUP([@Basis_type],tblInstellingen[Basis verloftype],tblInstellingen[Aanvullingsrechtig]),"ONBEKEND"))</f>
        <v/>
      </c>
      <c r="R378">
        <f>IF(OR([@Opbouwjaar]="",[@[Type verlof]]=""),0,IFERROR(INDEX(FILTER(tblAanvulling[Totaalbedrag],(tblAanvulling[Mdw.]=[@[Mdw.]])*(tblAanvulling[Bkjr.]=[@Opbouwjaar]),0),1),0))</f>
        <v/>
      </c>
      <c r="S378">
        <f>IF([@Aanvullingsrechtig]="Ja",[@Beginsaldo]*[@Aanvulling_pu],0)</f>
        <v/>
      </c>
      <c r="T378">
        <f>IF(AND([@Opbouwjaar]&lt;&gt;"",[@Beginsaldo]&lt;&gt;0,OR([@Aanvullingsrechtig]="Ja",[@Aanvullingsrechtig]="Nee")),1,0)</f>
        <v/>
      </c>
    </row>
    <row r="379">
      <c r="O379">
        <f>LET(t,[@[Type verlof]],s,SEQUENCE(MAX(1,LEN(t)-3)),k,IFERROR(--MID(t,s,4),0),g,FILTER(k,(k&gt;=2000)*(k&lt;=2100),""),IFERROR(INDEX(g,1),""))</f>
        <v/>
      </c>
      <c r="P379">
        <f>LET(t,[@[Type verlof]],jj,[@Opbouwjaar],s,IF(jj="",t,SUBSTITUTE(t," "&amp;jj,"")),TRIM(s))</f>
        <v/>
      </c>
      <c r="Q379">
        <f>IF([@[Type verlof]]="","",IFERROR(XLOOKUP([@Basis_type],tblInstellingen[Basis verloftype],tblInstellingen[Aanvullingsrechtig]),"ONBEKEND"))</f>
        <v/>
      </c>
      <c r="R379">
        <f>IF(OR([@Opbouwjaar]="",[@[Type verlof]]=""),0,IFERROR(INDEX(FILTER(tblAanvulling[Totaalbedrag],(tblAanvulling[Mdw.]=[@[Mdw.]])*(tblAanvulling[Bkjr.]=[@Opbouwjaar]),0),1),0))</f>
        <v/>
      </c>
      <c r="S379">
        <f>IF([@Aanvullingsrechtig]="Ja",[@Beginsaldo]*[@Aanvulling_pu],0)</f>
        <v/>
      </c>
      <c r="T379">
        <f>IF(AND([@Opbouwjaar]&lt;&gt;"",[@Beginsaldo]&lt;&gt;0,OR([@Aanvullingsrechtig]="Ja",[@Aanvullingsrechtig]="Nee")),1,0)</f>
        <v/>
      </c>
    </row>
    <row r="380">
      <c r="O380">
        <f>LET(t,[@[Type verlof]],s,SEQUENCE(MAX(1,LEN(t)-3)),k,IFERROR(--MID(t,s,4),0),g,FILTER(k,(k&gt;=2000)*(k&lt;=2100),""),IFERROR(INDEX(g,1),""))</f>
        <v/>
      </c>
      <c r="P380">
        <f>LET(t,[@[Type verlof]],jj,[@Opbouwjaar],s,IF(jj="",t,SUBSTITUTE(t," "&amp;jj,"")),TRIM(s))</f>
        <v/>
      </c>
      <c r="Q380">
        <f>IF([@[Type verlof]]="","",IFERROR(XLOOKUP([@Basis_type],tblInstellingen[Basis verloftype],tblInstellingen[Aanvullingsrechtig]),"ONBEKEND"))</f>
        <v/>
      </c>
      <c r="R380">
        <f>IF(OR([@Opbouwjaar]="",[@[Type verlof]]=""),0,IFERROR(INDEX(FILTER(tblAanvulling[Totaalbedrag],(tblAanvulling[Mdw.]=[@[Mdw.]])*(tblAanvulling[Bkjr.]=[@Opbouwjaar]),0),1),0))</f>
        <v/>
      </c>
      <c r="S380">
        <f>IF([@Aanvullingsrechtig]="Ja",[@Beginsaldo]*[@Aanvulling_pu],0)</f>
        <v/>
      </c>
      <c r="T380">
        <f>IF(AND([@Opbouwjaar]&lt;&gt;"",[@Beginsaldo]&lt;&gt;0,OR([@Aanvullingsrechtig]="Ja",[@Aanvullingsrechtig]="Nee")),1,0)</f>
        <v/>
      </c>
    </row>
    <row r="381">
      <c r="O381">
        <f>LET(t,[@[Type verlof]],s,SEQUENCE(MAX(1,LEN(t)-3)),k,IFERROR(--MID(t,s,4),0),g,FILTER(k,(k&gt;=2000)*(k&lt;=2100),""),IFERROR(INDEX(g,1),""))</f>
        <v/>
      </c>
      <c r="P381">
        <f>LET(t,[@[Type verlof]],jj,[@Opbouwjaar],s,IF(jj="",t,SUBSTITUTE(t," "&amp;jj,"")),TRIM(s))</f>
        <v/>
      </c>
      <c r="Q381">
        <f>IF([@[Type verlof]]="","",IFERROR(XLOOKUP([@Basis_type],tblInstellingen[Basis verloftype],tblInstellingen[Aanvullingsrechtig]),"ONBEKEND"))</f>
        <v/>
      </c>
      <c r="R381">
        <f>IF(OR([@Opbouwjaar]="",[@[Type verlof]]=""),0,IFERROR(INDEX(FILTER(tblAanvulling[Totaalbedrag],(tblAanvulling[Mdw.]=[@[Mdw.]])*(tblAanvulling[Bkjr.]=[@Opbouwjaar]),0),1),0))</f>
        <v/>
      </c>
      <c r="S381">
        <f>IF([@Aanvullingsrechtig]="Ja",[@Beginsaldo]*[@Aanvulling_pu],0)</f>
        <v/>
      </c>
      <c r="T381">
        <f>IF(AND([@Opbouwjaar]&lt;&gt;"",[@Beginsaldo]&lt;&gt;0,OR([@Aanvullingsrechtig]="Ja",[@Aanvullingsrechtig]="Nee")),1,0)</f>
        <v/>
      </c>
    </row>
    <row r="382">
      <c r="O382">
        <f>LET(t,[@[Type verlof]],s,SEQUENCE(MAX(1,LEN(t)-3)),k,IFERROR(--MID(t,s,4),0),g,FILTER(k,(k&gt;=2000)*(k&lt;=2100),""),IFERROR(INDEX(g,1),""))</f>
        <v/>
      </c>
      <c r="P382">
        <f>LET(t,[@[Type verlof]],jj,[@Opbouwjaar],s,IF(jj="",t,SUBSTITUTE(t," "&amp;jj,"")),TRIM(s))</f>
        <v/>
      </c>
      <c r="Q382">
        <f>IF([@[Type verlof]]="","",IFERROR(XLOOKUP([@Basis_type],tblInstellingen[Basis verloftype],tblInstellingen[Aanvullingsrechtig]),"ONBEKEND"))</f>
        <v/>
      </c>
      <c r="R382">
        <f>IF(OR([@Opbouwjaar]="",[@[Type verlof]]=""),0,IFERROR(INDEX(FILTER(tblAanvulling[Totaalbedrag],(tblAanvulling[Mdw.]=[@[Mdw.]])*(tblAanvulling[Bkjr.]=[@Opbouwjaar]),0),1),0))</f>
        <v/>
      </c>
      <c r="S382">
        <f>IF([@Aanvullingsrechtig]="Ja",[@Beginsaldo]*[@Aanvulling_pu],0)</f>
        <v/>
      </c>
      <c r="T382">
        <f>IF(AND([@Opbouwjaar]&lt;&gt;"",[@Beginsaldo]&lt;&gt;0,OR([@Aanvullingsrechtig]="Ja",[@Aanvullingsrechtig]="Nee")),1,0)</f>
        <v/>
      </c>
    </row>
    <row r="383">
      <c r="O383">
        <f>LET(t,[@[Type verlof]],s,SEQUENCE(MAX(1,LEN(t)-3)),k,IFERROR(--MID(t,s,4),0),g,FILTER(k,(k&gt;=2000)*(k&lt;=2100),""),IFERROR(INDEX(g,1),""))</f>
        <v/>
      </c>
      <c r="P383">
        <f>LET(t,[@[Type verlof]],jj,[@Opbouwjaar],s,IF(jj="",t,SUBSTITUTE(t," "&amp;jj,"")),TRIM(s))</f>
        <v/>
      </c>
      <c r="Q383">
        <f>IF([@[Type verlof]]="","",IFERROR(XLOOKUP([@Basis_type],tblInstellingen[Basis verloftype],tblInstellingen[Aanvullingsrechtig]),"ONBEKEND"))</f>
        <v/>
      </c>
      <c r="R383">
        <f>IF(OR([@Opbouwjaar]="",[@[Type verlof]]=""),0,IFERROR(INDEX(FILTER(tblAanvulling[Totaalbedrag],(tblAanvulling[Mdw.]=[@[Mdw.]])*(tblAanvulling[Bkjr.]=[@Opbouwjaar]),0),1),0))</f>
        <v/>
      </c>
      <c r="S383">
        <f>IF([@Aanvullingsrechtig]="Ja",[@Beginsaldo]*[@Aanvulling_pu],0)</f>
        <v/>
      </c>
      <c r="T383">
        <f>IF(AND([@Opbouwjaar]&lt;&gt;"",[@Beginsaldo]&lt;&gt;0,OR([@Aanvullingsrechtig]="Ja",[@Aanvullingsrechtig]="Nee")),1,0)</f>
        <v/>
      </c>
    </row>
    <row r="384">
      <c r="O384">
        <f>LET(t,[@[Type verlof]],s,SEQUENCE(MAX(1,LEN(t)-3)),k,IFERROR(--MID(t,s,4),0),g,FILTER(k,(k&gt;=2000)*(k&lt;=2100),""),IFERROR(INDEX(g,1),""))</f>
        <v/>
      </c>
      <c r="P384">
        <f>LET(t,[@[Type verlof]],jj,[@Opbouwjaar],s,IF(jj="",t,SUBSTITUTE(t," "&amp;jj,"")),TRIM(s))</f>
        <v/>
      </c>
      <c r="Q384">
        <f>IF([@[Type verlof]]="","",IFERROR(XLOOKUP([@Basis_type],tblInstellingen[Basis verloftype],tblInstellingen[Aanvullingsrechtig]),"ONBEKEND"))</f>
        <v/>
      </c>
      <c r="R384">
        <f>IF(OR([@Opbouwjaar]="",[@[Type verlof]]=""),0,IFERROR(INDEX(FILTER(tblAanvulling[Totaalbedrag],(tblAanvulling[Mdw.]=[@[Mdw.]])*(tblAanvulling[Bkjr.]=[@Opbouwjaar]),0),1),0))</f>
        <v/>
      </c>
      <c r="S384">
        <f>IF([@Aanvullingsrechtig]="Ja",[@Beginsaldo]*[@Aanvulling_pu],0)</f>
        <v/>
      </c>
      <c r="T384">
        <f>IF(AND([@Opbouwjaar]&lt;&gt;"",[@Beginsaldo]&lt;&gt;0,OR([@Aanvullingsrechtig]="Ja",[@Aanvullingsrechtig]="Nee")),1,0)</f>
        <v/>
      </c>
    </row>
    <row r="385">
      <c r="O385">
        <f>LET(t,[@[Type verlof]],s,SEQUENCE(MAX(1,LEN(t)-3)),k,IFERROR(--MID(t,s,4),0),g,FILTER(k,(k&gt;=2000)*(k&lt;=2100),""),IFERROR(INDEX(g,1),""))</f>
        <v/>
      </c>
      <c r="P385">
        <f>LET(t,[@[Type verlof]],jj,[@Opbouwjaar],s,IF(jj="",t,SUBSTITUTE(t," "&amp;jj,"")),TRIM(s))</f>
        <v/>
      </c>
      <c r="Q385">
        <f>IF([@[Type verlof]]="","",IFERROR(XLOOKUP([@Basis_type],tblInstellingen[Basis verloftype],tblInstellingen[Aanvullingsrechtig]),"ONBEKEND"))</f>
        <v/>
      </c>
      <c r="R385">
        <f>IF(OR([@Opbouwjaar]="",[@[Type verlof]]=""),0,IFERROR(INDEX(FILTER(tblAanvulling[Totaalbedrag],(tblAanvulling[Mdw.]=[@[Mdw.]])*(tblAanvulling[Bkjr.]=[@Opbouwjaar]),0),1),0))</f>
        <v/>
      </c>
      <c r="S385">
        <f>IF([@Aanvullingsrechtig]="Ja",[@Beginsaldo]*[@Aanvulling_pu],0)</f>
        <v/>
      </c>
      <c r="T385">
        <f>IF(AND([@Opbouwjaar]&lt;&gt;"",[@Beginsaldo]&lt;&gt;0,OR([@Aanvullingsrechtig]="Ja",[@Aanvullingsrechtig]="Nee")),1,0)</f>
        <v/>
      </c>
    </row>
    <row r="386">
      <c r="O386">
        <f>LET(t,[@[Type verlof]],s,SEQUENCE(MAX(1,LEN(t)-3)),k,IFERROR(--MID(t,s,4),0),g,FILTER(k,(k&gt;=2000)*(k&lt;=2100),""),IFERROR(INDEX(g,1),""))</f>
        <v/>
      </c>
      <c r="P386">
        <f>LET(t,[@[Type verlof]],jj,[@Opbouwjaar],s,IF(jj="",t,SUBSTITUTE(t," "&amp;jj,"")),TRIM(s))</f>
        <v/>
      </c>
      <c r="Q386">
        <f>IF([@[Type verlof]]="","",IFERROR(XLOOKUP([@Basis_type],tblInstellingen[Basis verloftype],tblInstellingen[Aanvullingsrechtig]),"ONBEKEND"))</f>
        <v/>
      </c>
      <c r="R386">
        <f>IF(OR([@Opbouwjaar]="",[@[Type verlof]]=""),0,IFERROR(INDEX(FILTER(tblAanvulling[Totaalbedrag],(tblAanvulling[Mdw.]=[@[Mdw.]])*(tblAanvulling[Bkjr.]=[@Opbouwjaar]),0),1),0))</f>
        <v/>
      </c>
      <c r="S386">
        <f>IF([@Aanvullingsrechtig]="Ja",[@Beginsaldo]*[@Aanvulling_pu],0)</f>
        <v/>
      </c>
      <c r="T386">
        <f>IF(AND([@Opbouwjaar]&lt;&gt;"",[@Beginsaldo]&lt;&gt;0,OR([@Aanvullingsrechtig]="Ja",[@Aanvullingsrechtig]="Nee")),1,0)</f>
        <v/>
      </c>
    </row>
    <row r="387">
      <c r="O387">
        <f>LET(t,[@[Type verlof]],s,SEQUENCE(MAX(1,LEN(t)-3)),k,IFERROR(--MID(t,s,4),0),g,FILTER(k,(k&gt;=2000)*(k&lt;=2100),""),IFERROR(INDEX(g,1),""))</f>
        <v/>
      </c>
      <c r="P387">
        <f>LET(t,[@[Type verlof]],jj,[@Opbouwjaar],s,IF(jj="",t,SUBSTITUTE(t," "&amp;jj,"")),TRIM(s))</f>
        <v/>
      </c>
      <c r="Q387">
        <f>IF([@[Type verlof]]="","",IFERROR(XLOOKUP([@Basis_type],tblInstellingen[Basis verloftype],tblInstellingen[Aanvullingsrechtig]),"ONBEKEND"))</f>
        <v/>
      </c>
      <c r="R387">
        <f>IF(OR([@Opbouwjaar]="",[@[Type verlof]]=""),0,IFERROR(INDEX(FILTER(tblAanvulling[Totaalbedrag],(tblAanvulling[Mdw.]=[@[Mdw.]])*(tblAanvulling[Bkjr.]=[@Opbouwjaar]),0),1),0))</f>
        <v/>
      </c>
      <c r="S387">
        <f>IF([@Aanvullingsrechtig]="Ja",[@Beginsaldo]*[@Aanvulling_pu],0)</f>
        <v/>
      </c>
      <c r="T387">
        <f>IF(AND([@Opbouwjaar]&lt;&gt;"",[@Beginsaldo]&lt;&gt;0,OR([@Aanvullingsrechtig]="Ja",[@Aanvullingsrechtig]="Nee")),1,0)</f>
        <v/>
      </c>
    </row>
    <row r="388">
      <c r="O388">
        <f>LET(t,[@[Type verlof]],s,SEQUENCE(MAX(1,LEN(t)-3)),k,IFERROR(--MID(t,s,4),0),g,FILTER(k,(k&gt;=2000)*(k&lt;=2100),""),IFERROR(INDEX(g,1),""))</f>
        <v/>
      </c>
      <c r="P388">
        <f>LET(t,[@[Type verlof]],jj,[@Opbouwjaar],s,IF(jj="",t,SUBSTITUTE(t," "&amp;jj,"")),TRIM(s))</f>
        <v/>
      </c>
      <c r="Q388">
        <f>IF([@[Type verlof]]="","",IFERROR(XLOOKUP([@Basis_type],tblInstellingen[Basis verloftype],tblInstellingen[Aanvullingsrechtig]),"ONBEKEND"))</f>
        <v/>
      </c>
      <c r="R388">
        <f>IF(OR([@Opbouwjaar]="",[@[Type verlof]]=""),0,IFERROR(INDEX(FILTER(tblAanvulling[Totaalbedrag],(tblAanvulling[Mdw.]=[@[Mdw.]])*(tblAanvulling[Bkjr.]=[@Opbouwjaar]),0),1),0))</f>
        <v/>
      </c>
      <c r="S388">
        <f>IF([@Aanvullingsrechtig]="Ja",[@Beginsaldo]*[@Aanvulling_pu],0)</f>
        <v/>
      </c>
      <c r="T388">
        <f>IF(AND([@Opbouwjaar]&lt;&gt;"",[@Beginsaldo]&lt;&gt;0,OR([@Aanvullingsrechtig]="Ja",[@Aanvullingsrechtig]="Nee")),1,0)</f>
        <v/>
      </c>
    </row>
    <row r="389">
      <c r="O389">
        <f>LET(t,[@[Type verlof]],s,SEQUENCE(MAX(1,LEN(t)-3)),k,IFERROR(--MID(t,s,4),0),g,FILTER(k,(k&gt;=2000)*(k&lt;=2100),""),IFERROR(INDEX(g,1),""))</f>
        <v/>
      </c>
      <c r="P389">
        <f>LET(t,[@[Type verlof]],jj,[@Opbouwjaar],s,IF(jj="",t,SUBSTITUTE(t," "&amp;jj,"")),TRIM(s))</f>
        <v/>
      </c>
      <c r="Q389">
        <f>IF([@[Type verlof]]="","",IFERROR(XLOOKUP([@Basis_type],tblInstellingen[Basis verloftype],tblInstellingen[Aanvullingsrechtig]),"ONBEKEND"))</f>
        <v/>
      </c>
      <c r="R389">
        <f>IF(OR([@Opbouwjaar]="",[@[Type verlof]]=""),0,IFERROR(INDEX(FILTER(tblAanvulling[Totaalbedrag],(tblAanvulling[Mdw.]=[@[Mdw.]])*(tblAanvulling[Bkjr.]=[@Opbouwjaar]),0),1),0))</f>
        <v/>
      </c>
      <c r="S389">
        <f>IF([@Aanvullingsrechtig]="Ja",[@Beginsaldo]*[@Aanvulling_pu],0)</f>
        <v/>
      </c>
      <c r="T389">
        <f>IF(AND([@Opbouwjaar]&lt;&gt;"",[@Beginsaldo]&lt;&gt;0,OR([@Aanvullingsrechtig]="Ja",[@Aanvullingsrechtig]="Nee")),1,0)</f>
        <v/>
      </c>
    </row>
    <row r="390">
      <c r="O390">
        <f>LET(t,[@[Type verlof]],s,SEQUENCE(MAX(1,LEN(t)-3)),k,IFERROR(--MID(t,s,4),0),g,FILTER(k,(k&gt;=2000)*(k&lt;=2100),""),IFERROR(INDEX(g,1),""))</f>
        <v/>
      </c>
      <c r="P390">
        <f>LET(t,[@[Type verlof]],jj,[@Opbouwjaar],s,IF(jj="",t,SUBSTITUTE(t," "&amp;jj,"")),TRIM(s))</f>
        <v/>
      </c>
      <c r="Q390">
        <f>IF([@[Type verlof]]="","",IFERROR(XLOOKUP([@Basis_type],tblInstellingen[Basis verloftype],tblInstellingen[Aanvullingsrechtig]),"ONBEKEND"))</f>
        <v/>
      </c>
      <c r="R390">
        <f>IF(OR([@Opbouwjaar]="",[@[Type verlof]]=""),0,IFERROR(INDEX(FILTER(tblAanvulling[Totaalbedrag],(tblAanvulling[Mdw.]=[@[Mdw.]])*(tblAanvulling[Bkjr.]=[@Opbouwjaar]),0),1),0))</f>
        <v/>
      </c>
      <c r="S390">
        <f>IF([@Aanvullingsrechtig]="Ja",[@Beginsaldo]*[@Aanvulling_pu],0)</f>
        <v/>
      </c>
      <c r="T390">
        <f>IF(AND([@Opbouwjaar]&lt;&gt;"",[@Beginsaldo]&lt;&gt;0,OR([@Aanvullingsrechtig]="Ja",[@Aanvullingsrechtig]="Nee")),1,0)</f>
        <v/>
      </c>
    </row>
    <row r="391">
      <c r="O391">
        <f>LET(t,[@[Type verlof]],s,SEQUENCE(MAX(1,LEN(t)-3)),k,IFERROR(--MID(t,s,4),0),g,FILTER(k,(k&gt;=2000)*(k&lt;=2100),""),IFERROR(INDEX(g,1),""))</f>
        <v/>
      </c>
      <c r="P391">
        <f>LET(t,[@[Type verlof]],jj,[@Opbouwjaar],s,IF(jj="",t,SUBSTITUTE(t," "&amp;jj,"")),TRIM(s))</f>
        <v/>
      </c>
      <c r="Q391">
        <f>IF([@[Type verlof]]="","",IFERROR(XLOOKUP([@Basis_type],tblInstellingen[Basis verloftype],tblInstellingen[Aanvullingsrechtig]),"ONBEKEND"))</f>
        <v/>
      </c>
      <c r="R391">
        <f>IF(OR([@Opbouwjaar]="",[@[Type verlof]]=""),0,IFERROR(INDEX(FILTER(tblAanvulling[Totaalbedrag],(tblAanvulling[Mdw.]=[@[Mdw.]])*(tblAanvulling[Bkjr.]=[@Opbouwjaar]),0),1),0))</f>
        <v/>
      </c>
      <c r="S391">
        <f>IF([@Aanvullingsrechtig]="Ja",[@Beginsaldo]*[@Aanvulling_pu],0)</f>
        <v/>
      </c>
      <c r="T391">
        <f>IF(AND([@Opbouwjaar]&lt;&gt;"",[@Beginsaldo]&lt;&gt;0,OR([@Aanvullingsrechtig]="Ja",[@Aanvullingsrechtig]="Nee")),1,0)</f>
        <v/>
      </c>
    </row>
    <row r="392">
      <c r="O392">
        <f>LET(t,[@[Type verlof]],s,SEQUENCE(MAX(1,LEN(t)-3)),k,IFERROR(--MID(t,s,4),0),g,FILTER(k,(k&gt;=2000)*(k&lt;=2100),""),IFERROR(INDEX(g,1),""))</f>
        <v/>
      </c>
      <c r="P392">
        <f>LET(t,[@[Type verlof]],jj,[@Opbouwjaar],s,IF(jj="",t,SUBSTITUTE(t," "&amp;jj,"")),TRIM(s))</f>
        <v/>
      </c>
      <c r="Q392">
        <f>IF([@[Type verlof]]="","",IFERROR(XLOOKUP([@Basis_type],tblInstellingen[Basis verloftype],tblInstellingen[Aanvullingsrechtig]),"ONBEKEND"))</f>
        <v/>
      </c>
      <c r="R392">
        <f>IF(OR([@Opbouwjaar]="",[@[Type verlof]]=""),0,IFERROR(INDEX(FILTER(tblAanvulling[Totaalbedrag],(tblAanvulling[Mdw.]=[@[Mdw.]])*(tblAanvulling[Bkjr.]=[@Opbouwjaar]),0),1),0))</f>
        <v/>
      </c>
      <c r="S392">
        <f>IF([@Aanvullingsrechtig]="Ja",[@Beginsaldo]*[@Aanvulling_pu],0)</f>
        <v/>
      </c>
      <c r="T392">
        <f>IF(AND([@Opbouwjaar]&lt;&gt;"",[@Beginsaldo]&lt;&gt;0,OR([@Aanvullingsrechtig]="Ja",[@Aanvullingsrechtig]="Nee")),1,0)</f>
        <v/>
      </c>
    </row>
    <row r="393">
      <c r="O393">
        <f>LET(t,[@[Type verlof]],s,SEQUENCE(MAX(1,LEN(t)-3)),k,IFERROR(--MID(t,s,4),0),g,FILTER(k,(k&gt;=2000)*(k&lt;=2100),""),IFERROR(INDEX(g,1),""))</f>
        <v/>
      </c>
      <c r="P393">
        <f>LET(t,[@[Type verlof]],jj,[@Opbouwjaar],s,IF(jj="",t,SUBSTITUTE(t," "&amp;jj,"")),TRIM(s))</f>
        <v/>
      </c>
      <c r="Q393">
        <f>IF([@[Type verlof]]="","",IFERROR(XLOOKUP([@Basis_type],tblInstellingen[Basis verloftype],tblInstellingen[Aanvullingsrechtig]),"ONBEKEND"))</f>
        <v/>
      </c>
      <c r="R393">
        <f>IF(OR([@Opbouwjaar]="",[@[Type verlof]]=""),0,IFERROR(INDEX(FILTER(tblAanvulling[Totaalbedrag],(tblAanvulling[Mdw.]=[@[Mdw.]])*(tblAanvulling[Bkjr.]=[@Opbouwjaar]),0),1),0))</f>
        <v/>
      </c>
      <c r="S393">
        <f>IF([@Aanvullingsrechtig]="Ja",[@Beginsaldo]*[@Aanvulling_pu],0)</f>
        <v/>
      </c>
      <c r="T393">
        <f>IF(AND([@Opbouwjaar]&lt;&gt;"",[@Beginsaldo]&lt;&gt;0,OR([@Aanvullingsrechtig]="Ja",[@Aanvullingsrechtig]="Nee")),1,0)</f>
        <v/>
      </c>
    </row>
    <row r="394">
      <c r="O394">
        <f>LET(t,[@[Type verlof]],s,SEQUENCE(MAX(1,LEN(t)-3)),k,IFERROR(--MID(t,s,4),0),g,FILTER(k,(k&gt;=2000)*(k&lt;=2100),""),IFERROR(INDEX(g,1),""))</f>
        <v/>
      </c>
      <c r="P394">
        <f>LET(t,[@[Type verlof]],jj,[@Opbouwjaar],s,IF(jj="",t,SUBSTITUTE(t," "&amp;jj,"")),TRIM(s))</f>
        <v/>
      </c>
      <c r="Q394">
        <f>IF([@[Type verlof]]="","",IFERROR(XLOOKUP([@Basis_type],tblInstellingen[Basis verloftype],tblInstellingen[Aanvullingsrechtig]),"ONBEKEND"))</f>
        <v/>
      </c>
      <c r="R394">
        <f>IF(OR([@Opbouwjaar]="",[@[Type verlof]]=""),0,IFERROR(INDEX(FILTER(tblAanvulling[Totaalbedrag],(tblAanvulling[Mdw.]=[@[Mdw.]])*(tblAanvulling[Bkjr.]=[@Opbouwjaar]),0),1),0))</f>
        <v/>
      </c>
      <c r="S394">
        <f>IF([@Aanvullingsrechtig]="Ja",[@Beginsaldo]*[@Aanvulling_pu],0)</f>
        <v/>
      </c>
      <c r="T394">
        <f>IF(AND([@Opbouwjaar]&lt;&gt;"",[@Beginsaldo]&lt;&gt;0,OR([@Aanvullingsrechtig]="Ja",[@Aanvullingsrechtig]="Nee")),1,0)</f>
        <v/>
      </c>
    </row>
    <row r="395">
      <c r="O395">
        <f>LET(t,[@[Type verlof]],s,SEQUENCE(MAX(1,LEN(t)-3)),k,IFERROR(--MID(t,s,4),0),g,FILTER(k,(k&gt;=2000)*(k&lt;=2100),""),IFERROR(INDEX(g,1),""))</f>
        <v/>
      </c>
      <c r="P395">
        <f>LET(t,[@[Type verlof]],jj,[@Opbouwjaar],s,IF(jj="",t,SUBSTITUTE(t," "&amp;jj,"")),TRIM(s))</f>
        <v/>
      </c>
      <c r="Q395">
        <f>IF([@[Type verlof]]="","",IFERROR(XLOOKUP([@Basis_type],tblInstellingen[Basis verloftype],tblInstellingen[Aanvullingsrechtig]),"ONBEKEND"))</f>
        <v/>
      </c>
      <c r="R395">
        <f>IF(OR([@Opbouwjaar]="",[@[Type verlof]]=""),0,IFERROR(INDEX(FILTER(tblAanvulling[Totaalbedrag],(tblAanvulling[Mdw.]=[@[Mdw.]])*(tblAanvulling[Bkjr.]=[@Opbouwjaar]),0),1),0))</f>
        <v/>
      </c>
      <c r="S395">
        <f>IF([@Aanvullingsrechtig]="Ja",[@Beginsaldo]*[@Aanvulling_pu],0)</f>
        <v/>
      </c>
      <c r="T395">
        <f>IF(AND([@Opbouwjaar]&lt;&gt;"",[@Beginsaldo]&lt;&gt;0,OR([@Aanvullingsrechtig]="Ja",[@Aanvullingsrechtig]="Nee")),1,0)</f>
        <v/>
      </c>
    </row>
    <row r="396">
      <c r="O396">
        <f>LET(t,[@[Type verlof]],s,SEQUENCE(MAX(1,LEN(t)-3)),k,IFERROR(--MID(t,s,4),0),g,FILTER(k,(k&gt;=2000)*(k&lt;=2100),""),IFERROR(INDEX(g,1),""))</f>
        <v/>
      </c>
      <c r="P396">
        <f>LET(t,[@[Type verlof]],jj,[@Opbouwjaar],s,IF(jj="",t,SUBSTITUTE(t," "&amp;jj,"")),TRIM(s))</f>
        <v/>
      </c>
      <c r="Q396">
        <f>IF([@[Type verlof]]="","",IFERROR(XLOOKUP([@Basis_type],tblInstellingen[Basis verloftype],tblInstellingen[Aanvullingsrechtig]),"ONBEKEND"))</f>
        <v/>
      </c>
      <c r="R396">
        <f>IF(OR([@Opbouwjaar]="",[@[Type verlof]]=""),0,IFERROR(INDEX(FILTER(tblAanvulling[Totaalbedrag],(tblAanvulling[Mdw.]=[@[Mdw.]])*(tblAanvulling[Bkjr.]=[@Opbouwjaar]),0),1),0))</f>
        <v/>
      </c>
      <c r="S396">
        <f>IF([@Aanvullingsrechtig]="Ja",[@Beginsaldo]*[@Aanvulling_pu],0)</f>
        <v/>
      </c>
      <c r="T396">
        <f>IF(AND([@Opbouwjaar]&lt;&gt;"",[@Beginsaldo]&lt;&gt;0,OR([@Aanvullingsrechtig]="Ja",[@Aanvullingsrechtig]="Nee")),1,0)</f>
        <v/>
      </c>
    </row>
    <row r="397">
      <c r="O397">
        <f>LET(t,[@[Type verlof]],s,SEQUENCE(MAX(1,LEN(t)-3)),k,IFERROR(--MID(t,s,4),0),g,FILTER(k,(k&gt;=2000)*(k&lt;=2100),""),IFERROR(INDEX(g,1),""))</f>
        <v/>
      </c>
      <c r="P397">
        <f>LET(t,[@[Type verlof]],jj,[@Opbouwjaar],s,IF(jj="",t,SUBSTITUTE(t," "&amp;jj,"")),TRIM(s))</f>
        <v/>
      </c>
      <c r="Q397">
        <f>IF([@[Type verlof]]="","",IFERROR(XLOOKUP([@Basis_type],tblInstellingen[Basis verloftype],tblInstellingen[Aanvullingsrechtig]),"ONBEKEND"))</f>
        <v/>
      </c>
      <c r="R397">
        <f>IF(OR([@Opbouwjaar]="",[@[Type verlof]]=""),0,IFERROR(INDEX(FILTER(tblAanvulling[Totaalbedrag],(tblAanvulling[Mdw.]=[@[Mdw.]])*(tblAanvulling[Bkjr.]=[@Opbouwjaar]),0),1),0))</f>
        <v/>
      </c>
      <c r="S397">
        <f>IF([@Aanvullingsrechtig]="Ja",[@Beginsaldo]*[@Aanvulling_pu],0)</f>
        <v/>
      </c>
      <c r="T397">
        <f>IF(AND([@Opbouwjaar]&lt;&gt;"",[@Beginsaldo]&lt;&gt;0,OR([@Aanvullingsrechtig]="Ja",[@Aanvullingsrechtig]="Nee")),1,0)</f>
        <v/>
      </c>
    </row>
    <row r="398">
      <c r="O398">
        <f>LET(t,[@[Type verlof]],s,SEQUENCE(MAX(1,LEN(t)-3)),k,IFERROR(--MID(t,s,4),0),g,FILTER(k,(k&gt;=2000)*(k&lt;=2100),""),IFERROR(INDEX(g,1),""))</f>
        <v/>
      </c>
      <c r="P398">
        <f>LET(t,[@[Type verlof]],jj,[@Opbouwjaar],s,IF(jj="",t,SUBSTITUTE(t," "&amp;jj,"")),TRIM(s))</f>
        <v/>
      </c>
      <c r="Q398">
        <f>IF([@[Type verlof]]="","",IFERROR(XLOOKUP([@Basis_type],tblInstellingen[Basis verloftype],tblInstellingen[Aanvullingsrechtig]),"ONBEKEND"))</f>
        <v/>
      </c>
      <c r="R398">
        <f>IF(OR([@Opbouwjaar]="",[@[Type verlof]]=""),0,IFERROR(INDEX(FILTER(tblAanvulling[Totaalbedrag],(tblAanvulling[Mdw.]=[@[Mdw.]])*(tblAanvulling[Bkjr.]=[@Opbouwjaar]),0),1),0))</f>
        <v/>
      </c>
      <c r="S398">
        <f>IF([@Aanvullingsrechtig]="Ja",[@Beginsaldo]*[@Aanvulling_pu],0)</f>
        <v/>
      </c>
      <c r="T398">
        <f>IF(AND([@Opbouwjaar]&lt;&gt;"",[@Beginsaldo]&lt;&gt;0,OR([@Aanvullingsrechtig]="Ja",[@Aanvullingsrechtig]="Nee")),1,0)</f>
        <v/>
      </c>
    </row>
    <row r="399">
      <c r="O399">
        <f>LET(t,[@[Type verlof]],s,SEQUENCE(MAX(1,LEN(t)-3)),k,IFERROR(--MID(t,s,4),0),g,FILTER(k,(k&gt;=2000)*(k&lt;=2100),""),IFERROR(INDEX(g,1),""))</f>
        <v/>
      </c>
      <c r="P399">
        <f>LET(t,[@[Type verlof]],jj,[@Opbouwjaar],s,IF(jj="",t,SUBSTITUTE(t," "&amp;jj,"")),TRIM(s))</f>
        <v/>
      </c>
      <c r="Q399">
        <f>IF([@[Type verlof]]="","",IFERROR(XLOOKUP([@Basis_type],tblInstellingen[Basis verloftype],tblInstellingen[Aanvullingsrechtig]),"ONBEKEND"))</f>
        <v/>
      </c>
      <c r="R399">
        <f>IF(OR([@Opbouwjaar]="",[@[Type verlof]]=""),0,IFERROR(INDEX(FILTER(tblAanvulling[Totaalbedrag],(tblAanvulling[Mdw.]=[@[Mdw.]])*(tblAanvulling[Bkjr.]=[@Opbouwjaar]),0),1),0))</f>
        <v/>
      </c>
      <c r="S399">
        <f>IF([@Aanvullingsrechtig]="Ja",[@Beginsaldo]*[@Aanvulling_pu],0)</f>
        <v/>
      </c>
      <c r="T399">
        <f>IF(AND([@Opbouwjaar]&lt;&gt;"",[@Beginsaldo]&lt;&gt;0,OR([@Aanvullingsrechtig]="Ja",[@Aanvullingsrechtig]="Nee")),1,0)</f>
        <v/>
      </c>
    </row>
    <row r="400">
      <c r="O400">
        <f>LET(t,[@[Type verlof]],s,SEQUENCE(MAX(1,LEN(t)-3)),k,IFERROR(--MID(t,s,4),0),g,FILTER(k,(k&gt;=2000)*(k&lt;=2100),""),IFERROR(INDEX(g,1),""))</f>
        <v/>
      </c>
      <c r="P400">
        <f>LET(t,[@[Type verlof]],jj,[@Opbouwjaar],s,IF(jj="",t,SUBSTITUTE(t," "&amp;jj,"")),TRIM(s))</f>
        <v/>
      </c>
      <c r="Q400">
        <f>IF([@[Type verlof]]="","",IFERROR(XLOOKUP([@Basis_type],tblInstellingen[Basis verloftype],tblInstellingen[Aanvullingsrechtig]),"ONBEKEND"))</f>
        <v/>
      </c>
      <c r="R400">
        <f>IF(OR([@Opbouwjaar]="",[@[Type verlof]]=""),0,IFERROR(INDEX(FILTER(tblAanvulling[Totaalbedrag],(tblAanvulling[Mdw.]=[@[Mdw.]])*(tblAanvulling[Bkjr.]=[@Opbouwjaar]),0),1),0))</f>
        <v/>
      </c>
      <c r="S400">
        <f>IF([@Aanvullingsrechtig]="Ja",[@Beginsaldo]*[@Aanvulling_pu],0)</f>
        <v/>
      </c>
      <c r="T400">
        <f>IF(AND([@Opbouwjaar]&lt;&gt;"",[@Beginsaldo]&lt;&gt;0,OR([@Aanvullingsrechtig]="Ja",[@Aanvullingsrechtig]="Nee")),1,0)</f>
        <v/>
      </c>
    </row>
    <row r="401">
      <c r="O401">
        <f>LET(t,[@[Type verlof]],s,SEQUENCE(MAX(1,LEN(t)-3)),k,IFERROR(--MID(t,s,4),0),g,FILTER(k,(k&gt;=2000)*(k&lt;=2100),""),IFERROR(INDEX(g,1),""))</f>
        <v/>
      </c>
      <c r="P401">
        <f>LET(t,[@[Type verlof]],jj,[@Opbouwjaar],s,IF(jj="",t,SUBSTITUTE(t," "&amp;jj,"")),TRIM(s))</f>
        <v/>
      </c>
      <c r="Q401">
        <f>IF([@[Type verlof]]="","",IFERROR(XLOOKUP([@Basis_type],tblInstellingen[Basis verloftype],tblInstellingen[Aanvullingsrechtig]),"ONBEKEND"))</f>
        <v/>
      </c>
      <c r="R401">
        <f>IF(OR([@Opbouwjaar]="",[@[Type verlof]]=""),0,IFERROR(INDEX(FILTER(tblAanvulling[Totaalbedrag],(tblAanvulling[Mdw.]=[@[Mdw.]])*(tblAanvulling[Bkjr.]=[@Opbouwjaar]),0),1),0))</f>
        <v/>
      </c>
      <c r="S401">
        <f>IF([@Aanvullingsrechtig]="Ja",[@Beginsaldo]*[@Aanvulling_pu],0)</f>
        <v/>
      </c>
      <c r="T401">
        <f>IF(AND([@Opbouwjaar]&lt;&gt;"",[@Beginsaldo]&lt;&gt;0,OR([@Aanvullingsrechtig]="Ja",[@Aanvullingsrechtig]="Nee")),1,0)</f>
        <v/>
      </c>
    </row>
    <row r="402">
      <c r="O402">
        <f>LET(t,[@[Type verlof]],s,SEQUENCE(MAX(1,LEN(t)-3)),k,IFERROR(--MID(t,s,4),0),g,FILTER(k,(k&gt;=2000)*(k&lt;=2100),""),IFERROR(INDEX(g,1),""))</f>
        <v/>
      </c>
      <c r="P402">
        <f>LET(t,[@[Type verlof]],jj,[@Opbouwjaar],s,IF(jj="",t,SUBSTITUTE(t," "&amp;jj,"")),TRIM(s))</f>
        <v/>
      </c>
      <c r="Q402">
        <f>IF([@[Type verlof]]="","",IFERROR(XLOOKUP([@Basis_type],tblInstellingen[Basis verloftype],tblInstellingen[Aanvullingsrechtig]),"ONBEKEND"))</f>
        <v/>
      </c>
      <c r="R402">
        <f>IF(OR([@Opbouwjaar]="",[@[Type verlof]]=""),0,IFERROR(INDEX(FILTER(tblAanvulling[Totaalbedrag],(tblAanvulling[Mdw.]=[@[Mdw.]])*(tblAanvulling[Bkjr.]=[@Opbouwjaar]),0),1),0))</f>
        <v/>
      </c>
      <c r="S402">
        <f>IF([@Aanvullingsrechtig]="Ja",[@Beginsaldo]*[@Aanvulling_pu],0)</f>
        <v/>
      </c>
      <c r="T402">
        <f>IF(AND([@Opbouwjaar]&lt;&gt;"",[@Beginsaldo]&lt;&gt;0,OR([@Aanvullingsrechtig]="Ja",[@Aanvullingsrechtig]="Nee")),1,0)</f>
        <v/>
      </c>
    </row>
    <row r="403">
      <c r="O403">
        <f>LET(t,[@[Type verlof]],s,SEQUENCE(MAX(1,LEN(t)-3)),k,IFERROR(--MID(t,s,4),0),g,FILTER(k,(k&gt;=2000)*(k&lt;=2100),""),IFERROR(INDEX(g,1),""))</f>
        <v/>
      </c>
      <c r="P403">
        <f>LET(t,[@[Type verlof]],jj,[@Opbouwjaar],s,IF(jj="",t,SUBSTITUTE(t," "&amp;jj,"")),TRIM(s))</f>
        <v/>
      </c>
      <c r="Q403">
        <f>IF([@[Type verlof]]="","",IFERROR(XLOOKUP([@Basis_type],tblInstellingen[Basis verloftype],tblInstellingen[Aanvullingsrechtig]),"ONBEKEND"))</f>
        <v/>
      </c>
      <c r="R403">
        <f>IF(OR([@Opbouwjaar]="",[@[Type verlof]]=""),0,IFERROR(INDEX(FILTER(tblAanvulling[Totaalbedrag],(tblAanvulling[Mdw.]=[@[Mdw.]])*(tblAanvulling[Bkjr.]=[@Opbouwjaar]),0),1),0))</f>
        <v/>
      </c>
      <c r="S403">
        <f>IF([@Aanvullingsrechtig]="Ja",[@Beginsaldo]*[@Aanvulling_pu],0)</f>
        <v/>
      </c>
      <c r="T403">
        <f>IF(AND([@Opbouwjaar]&lt;&gt;"",[@Beginsaldo]&lt;&gt;0,OR([@Aanvullingsrechtig]="Ja",[@Aanvullingsrechtig]="Nee")),1,0)</f>
        <v/>
      </c>
    </row>
    <row r="404">
      <c r="O404">
        <f>LET(t,[@[Type verlof]],s,SEQUENCE(MAX(1,LEN(t)-3)),k,IFERROR(--MID(t,s,4),0),g,FILTER(k,(k&gt;=2000)*(k&lt;=2100),""),IFERROR(INDEX(g,1),""))</f>
        <v/>
      </c>
      <c r="P404">
        <f>LET(t,[@[Type verlof]],jj,[@Opbouwjaar],s,IF(jj="",t,SUBSTITUTE(t," "&amp;jj,"")),TRIM(s))</f>
        <v/>
      </c>
      <c r="Q404">
        <f>IF([@[Type verlof]]="","",IFERROR(XLOOKUP([@Basis_type],tblInstellingen[Basis verloftype],tblInstellingen[Aanvullingsrechtig]),"ONBEKEND"))</f>
        <v/>
      </c>
      <c r="R404">
        <f>IF(OR([@Opbouwjaar]="",[@[Type verlof]]=""),0,IFERROR(INDEX(FILTER(tblAanvulling[Totaalbedrag],(tblAanvulling[Mdw.]=[@[Mdw.]])*(tblAanvulling[Bkjr.]=[@Opbouwjaar]),0),1),0))</f>
        <v/>
      </c>
      <c r="S404">
        <f>IF([@Aanvullingsrechtig]="Ja",[@Beginsaldo]*[@Aanvulling_pu],0)</f>
        <v/>
      </c>
      <c r="T404">
        <f>IF(AND([@Opbouwjaar]&lt;&gt;"",[@Beginsaldo]&lt;&gt;0,OR([@Aanvullingsrechtig]="Ja",[@Aanvullingsrechtig]="Nee")),1,0)</f>
        <v/>
      </c>
    </row>
    <row r="405">
      <c r="O405">
        <f>LET(t,[@[Type verlof]],s,SEQUENCE(MAX(1,LEN(t)-3)),k,IFERROR(--MID(t,s,4),0),g,FILTER(k,(k&gt;=2000)*(k&lt;=2100),""),IFERROR(INDEX(g,1),""))</f>
        <v/>
      </c>
      <c r="P405">
        <f>LET(t,[@[Type verlof]],jj,[@Opbouwjaar],s,IF(jj="",t,SUBSTITUTE(t," "&amp;jj,"")),TRIM(s))</f>
        <v/>
      </c>
      <c r="Q405">
        <f>IF([@[Type verlof]]="","",IFERROR(XLOOKUP([@Basis_type],tblInstellingen[Basis verloftype],tblInstellingen[Aanvullingsrechtig]),"ONBEKEND"))</f>
        <v/>
      </c>
      <c r="R405">
        <f>IF(OR([@Opbouwjaar]="",[@[Type verlof]]=""),0,IFERROR(INDEX(FILTER(tblAanvulling[Totaalbedrag],(tblAanvulling[Mdw.]=[@[Mdw.]])*(tblAanvulling[Bkjr.]=[@Opbouwjaar]),0),1),0))</f>
        <v/>
      </c>
      <c r="S405">
        <f>IF([@Aanvullingsrechtig]="Ja",[@Beginsaldo]*[@Aanvulling_pu],0)</f>
        <v/>
      </c>
      <c r="T405">
        <f>IF(AND([@Opbouwjaar]&lt;&gt;"",[@Beginsaldo]&lt;&gt;0,OR([@Aanvullingsrechtig]="Ja",[@Aanvullingsrechtig]="Nee")),1,0)</f>
        <v/>
      </c>
    </row>
    <row r="406">
      <c r="O406">
        <f>LET(t,[@[Type verlof]],s,SEQUENCE(MAX(1,LEN(t)-3)),k,IFERROR(--MID(t,s,4),0),g,FILTER(k,(k&gt;=2000)*(k&lt;=2100),""),IFERROR(INDEX(g,1),""))</f>
        <v/>
      </c>
      <c r="P406">
        <f>LET(t,[@[Type verlof]],jj,[@Opbouwjaar],s,IF(jj="",t,SUBSTITUTE(t," "&amp;jj,"")),TRIM(s))</f>
        <v/>
      </c>
      <c r="Q406">
        <f>IF([@[Type verlof]]="","",IFERROR(XLOOKUP([@Basis_type],tblInstellingen[Basis verloftype],tblInstellingen[Aanvullingsrechtig]),"ONBEKEND"))</f>
        <v/>
      </c>
      <c r="R406">
        <f>IF(OR([@Opbouwjaar]="",[@[Type verlof]]=""),0,IFERROR(INDEX(FILTER(tblAanvulling[Totaalbedrag],(tblAanvulling[Mdw.]=[@[Mdw.]])*(tblAanvulling[Bkjr.]=[@Opbouwjaar]),0),1),0))</f>
        <v/>
      </c>
      <c r="S406">
        <f>IF([@Aanvullingsrechtig]="Ja",[@Beginsaldo]*[@Aanvulling_pu],0)</f>
        <v/>
      </c>
      <c r="T406">
        <f>IF(AND([@Opbouwjaar]&lt;&gt;"",[@Beginsaldo]&lt;&gt;0,OR([@Aanvullingsrechtig]="Ja",[@Aanvullingsrechtig]="Nee")),1,0)</f>
        <v/>
      </c>
    </row>
    <row r="407">
      <c r="O407">
        <f>LET(t,[@[Type verlof]],s,SEQUENCE(MAX(1,LEN(t)-3)),k,IFERROR(--MID(t,s,4),0),g,FILTER(k,(k&gt;=2000)*(k&lt;=2100),""),IFERROR(INDEX(g,1),""))</f>
        <v/>
      </c>
      <c r="P407">
        <f>LET(t,[@[Type verlof]],jj,[@Opbouwjaar],s,IF(jj="",t,SUBSTITUTE(t," "&amp;jj,"")),TRIM(s))</f>
        <v/>
      </c>
      <c r="Q407">
        <f>IF([@[Type verlof]]="","",IFERROR(XLOOKUP([@Basis_type],tblInstellingen[Basis verloftype],tblInstellingen[Aanvullingsrechtig]),"ONBEKEND"))</f>
        <v/>
      </c>
      <c r="R407">
        <f>IF(OR([@Opbouwjaar]="",[@[Type verlof]]=""),0,IFERROR(INDEX(FILTER(tblAanvulling[Totaalbedrag],(tblAanvulling[Mdw.]=[@[Mdw.]])*(tblAanvulling[Bkjr.]=[@Opbouwjaar]),0),1),0))</f>
        <v/>
      </c>
      <c r="S407">
        <f>IF([@Aanvullingsrechtig]="Ja",[@Beginsaldo]*[@Aanvulling_pu],0)</f>
        <v/>
      </c>
      <c r="T407">
        <f>IF(AND([@Opbouwjaar]&lt;&gt;"",[@Beginsaldo]&lt;&gt;0,OR([@Aanvullingsrechtig]="Ja",[@Aanvullingsrechtig]="Nee")),1,0)</f>
        <v/>
      </c>
    </row>
    <row r="408">
      <c r="O408">
        <f>LET(t,[@[Type verlof]],s,SEQUENCE(MAX(1,LEN(t)-3)),k,IFERROR(--MID(t,s,4),0),g,FILTER(k,(k&gt;=2000)*(k&lt;=2100),""),IFERROR(INDEX(g,1),""))</f>
        <v/>
      </c>
      <c r="P408">
        <f>LET(t,[@[Type verlof]],jj,[@Opbouwjaar],s,IF(jj="",t,SUBSTITUTE(t," "&amp;jj,"")),TRIM(s))</f>
        <v/>
      </c>
      <c r="Q408">
        <f>IF([@[Type verlof]]="","",IFERROR(XLOOKUP([@Basis_type],tblInstellingen[Basis verloftype],tblInstellingen[Aanvullingsrechtig]),"ONBEKEND"))</f>
        <v/>
      </c>
      <c r="R408">
        <f>IF(OR([@Opbouwjaar]="",[@[Type verlof]]=""),0,IFERROR(INDEX(FILTER(tblAanvulling[Totaalbedrag],(tblAanvulling[Mdw.]=[@[Mdw.]])*(tblAanvulling[Bkjr.]=[@Opbouwjaar]),0),1),0))</f>
        <v/>
      </c>
      <c r="S408">
        <f>IF([@Aanvullingsrechtig]="Ja",[@Beginsaldo]*[@Aanvulling_pu],0)</f>
        <v/>
      </c>
      <c r="T408">
        <f>IF(AND([@Opbouwjaar]&lt;&gt;"",[@Beginsaldo]&lt;&gt;0,OR([@Aanvullingsrechtig]="Ja",[@Aanvullingsrechtig]="Nee")),1,0)</f>
        <v/>
      </c>
    </row>
    <row r="409">
      <c r="O409">
        <f>LET(t,[@[Type verlof]],s,SEQUENCE(MAX(1,LEN(t)-3)),k,IFERROR(--MID(t,s,4),0),g,FILTER(k,(k&gt;=2000)*(k&lt;=2100),""),IFERROR(INDEX(g,1),""))</f>
        <v/>
      </c>
      <c r="P409">
        <f>LET(t,[@[Type verlof]],jj,[@Opbouwjaar],s,IF(jj="",t,SUBSTITUTE(t," "&amp;jj,"")),TRIM(s))</f>
        <v/>
      </c>
      <c r="Q409">
        <f>IF([@[Type verlof]]="","",IFERROR(XLOOKUP([@Basis_type],tblInstellingen[Basis verloftype],tblInstellingen[Aanvullingsrechtig]),"ONBEKEND"))</f>
        <v/>
      </c>
      <c r="R409">
        <f>IF(OR([@Opbouwjaar]="",[@[Type verlof]]=""),0,IFERROR(INDEX(FILTER(tblAanvulling[Totaalbedrag],(tblAanvulling[Mdw.]=[@[Mdw.]])*(tblAanvulling[Bkjr.]=[@Opbouwjaar]),0),1),0))</f>
        <v/>
      </c>
      <c r="S409">
        <f>IF([@Aanvullingsrechtig]="Ja",[@Beginsaldo]*[@Aanvulling_pu],0)</f>
        <v/>
      </c>
      <c r="T409">
        <f>IF(AND([@Opbouwjaar]&lt;&gt;"",[@Beginsaldo]&lt;&gt;0,OR([@Aanvullingsrechtig]="Ja",[@Aanvullingsrechtig]="Nee")),1,0)</f>
        <v/>
      </c>
    </row>
    <row r="410">
      <c r="O410">
        <f>LET(t,[@[Type verlof]],s,SEQUENCE(MAX(1,LEN(t)-3)),k,IFERROR(--MID(t,s,4),0),g,FILTER(k,(k&gt;=2000)*(k&lt;=2100),""),IFERROR(INDEX(g,1),""))</f>
        <v/>
      </c>
      <c r="P410">
        <f>LET(t,[@[Type verlof]],jj,[@Opbouwjaar],s,IF(jj="",t,SUBSTITUTE(t," "&amp;jj,"")),TRIM(s))</f>
        <v/>
      </c>
      <c r="Q410">
        <f>IF([@[Type verlof]]="","",IFERROR(XLOOKUP([@Basis_type],tblInstellingen[Basis verloftype],tblInstellingen[Aanvullingsrechtig]),"ONBEKEND"))</f>
        <v/>
      </c>
      <c r="R410">
        <f>IF(OR([@Opbouwjaar]="",[@[Type verlof]]=""),0,IFERROR(INDEX(FILTER(tblAanvulling[Totaalbedrag],(tblAanvulling[Mdw.]=[@[Mdw.]])*(tblAanvulling[Bkjr.]=[@Opbouwjaar]),0),1),0))</f>
        <v/>
      </c>
      <c r="S410">
        <f>IF([@Aanvullingsrechtig]="Ja",[@Beginsaldo]*[@Aanvulling_pu],0)</f>
        <v/>
      </c>
      <c r="T410">
        <f>IF(AND([@Opbouwjaar]&lt;&gt;"",[@Beginsaldo]&lt;&gt;0,OR([@Aanvullingsrechtig]="Ja",[@Aanvullingsrechtig]="Nee")),1,0)</f>
        <v/>
      </c>
    </row>
    <row r="411">
      <c r="O411">
        <f>LET(t,[@[Type verlof]],s,SEQUENCE(MAX(1,LEN(t)-3)),k,IFERROR(--MID(t,s,4),0),g,FILTER(k,(k&gt;=2000)*(k&lt;=2100),""),IFERROR(INDEX(g,1),""))</f>
        <v/>
      </c>
      <c r="P411">
        <f>LET(t,[@[Type verlof]],jj,[@Opbouwjaar],s,IF(jj="",t,SUBSTITUTE(t," "&amp;jj,"")),TRIM(s))</f>
        <v/>
      </c>
      <c r="Q411">
        <f>IF([@[Type verlof]]="","",IFERROR(XLOOKUP([@Basis_type],tblInstellingen[Basis verloftype],tblInstellingen[Aanvullingsrechtig]),"ONBEKEND"))</f>
        <v/>
      </c>
      <c r="R411">
        <f>IF(OR([@Opbouwjaar]="",[@[Type verlof]]=""),0,IFERROR(INDEX(FILTER(tblAanvulling[Totaalbedrag],(tblAanvulling[Mdw.]=[@[Mdw.]])*(tblAanvulling[Bkjr.]=[@Opbouwjaar]),0),1),0))</f>
        <v/>
      </c>
      <c r="S411">
        <f>IF([@Aanvullingsrechtig]="Ja",[@Beginsaldo]*[@Aanvulling_pu],0)</f>
        <v/>
      </c>
      <c r="T411">
        <f>IF(AND([@Opbouwjaar]&lt;&gt;"",[@Beginsaldo]&lt;&gt;0,OR([@Aanvullingsrechtig]="Ja",[@Aanvullingsrechtig]="Nee")),1,0)</f>
        <v/>
      </c>
    </row>
    <row r="412">
      <c r="O412">
        <f>LET(t,[@[Type verlof]],s,SEQUENCE(MAX(1,LEN(t)-3)),k,IFERROR(--MID(t,s,4),0),g,FILTER(k,(k&gt;=2000)*(k&lt;=2100),""),IFERROR(INDEX(g,1),""))</f>
        <v/>
      </c>
      <c r="P412">
        <f>LET(t,[@[Type verlof]],jj,[@Opbouwjaar],s,IF(jj="",t,SUBSTITUTE(t," "&amp;jj,"")),TRIM(s))</f>
        <v/>
      </c>
      <c r="Q412">
        <f>IF([@[Type verlof]]="","",IFERROR(XLOOKUP([@Basis_type],tblInstellingen[Basis verloftype],tblInstellingen[Aanvullingsrechtig]),"ONBEKEND"))</f>
        <v/>
      </c>
      <c r="R412">
        <f>IF(OR([@Opbouwjaar]="",[@[Type verlof]]=""),0,IFERROR(INDEX(FILTER(tblAanvulling[Totaalbedrag],(tblAanvulling[Mdw.]=[@[Mdw.]])*(tblAanvulling[Bkjr.]=[@Opbouwjaar]),0),1),0))</f>
        <v/>
      </c>
      <c r="S412">
        <f>IF([@Aanvullingsrechtig]="Ja",[@Beginsaldo]*[@Aanvulling_pu],0)</f>
        <v/>
      </c>
      <c r="T412">
        <f>IF(AND([@Opbouwjaar]&lt;&gt;"",[@Beginsaldo]&lt;&gt;0,OR([@Aanvullingsrechtig]="Ja",[@Aanvullingsrechtig]="Nee")),1,0)</f>
        <v/>
      </c>
    </row>
    <row r="413">
      <c r="O413">
        <f>LET(t,[@[Type verlof]],s,SEQUENCE(MAX(1,LEN(t)-3)),k,IFERROR(--MID(t,s,4),0),g,FILTER(k,(k&gt;=2000)*(k&lt;=2100),""),IFERROR(INDEX(g,1),""))</f>
        <v/>
      </c>
      <c r="P413">
        <f>LET(t,[@[Type verlof]],jj,[@Opbouwjaar],s,IF(jj="",t,SUBSTITUTE(t," "&amp;jj,"")),TRIM(s))</f>
        <v/>
      </c>
      <c r="Q413">
        <f>IF([@[Type verlof]]="","",IFERROR(XLOOKUP([@Basis_type],tblInstellingen[Basis verloftype],tblInstellingen[Aanvullingsrechtig]),"ONBEKEND"))</f>
        <v/>
      </c>
      <c r="R413">
        <f>IF(OR([@Opbouwjaar]="",[@[Type verlof]]=""),0,IFERROR(INDEX(FILTER(tblAanvulling[Totaalbedrag],(tblAanvulling[Mdw.]=[@[Mdw.]])*(tblAanvulling[Bkjr.]=[@Opbouwjaar]),0),1),0))</f>
        <v/>
      </c>
      <c r="S413">
        <f>IF([@Aanvullingsrechtig]="Ja",[@Beginsaldo]*[@Aanvulling_pu],0)</f>
        <v/>
      </c>
      <c r="T413">
        <f>IF(AND([@Opbouwjaar]&lt;&gt;"",[@Beginsaldo]&lt;&gt;0,OR([@Aanvullingsrechtig]="Ja",[@Aanvullingsrechtig]="Nee")),1,0)</f>
        <v/>
      </c>
    </row>
    <row r="414">
      <c r="O414">
        <f>LET(t,[@[Type verlof]],s,SEQUENCE(MAX(1,LEN(t)-3)),k,IFERROR(--MID(t,s,4),0),g,FILTER(k,(k&gt;=2000)*(k&lt;=2100),""),IFERROR(INDEX(g,1),""))</f>
        <v/>
      </c>
      <c r="P414">
        <f>LET(t,[@[Type verlof]],jj,[@Opbouwjaar],s,IF(jj="",t,SUBSTITUTE(t," "&amp;jj,"")),TRIM(s))</f>
        <v/>
      </c>
      <c r="Q414">
        <f>IF([@[Type verlof]]="","",IFERROR(XLOOKUP([@Basis_type],tblInstellingen[Basis verloftype],tblInstellingen[Aanvullingsrechtig]),"ONBEKEND"))</f>
        <v/>
      </c>
      <c r="R414">
        <f>IF(OR([@Opbouwjaar]="",[@[Type verlof]]=""),0,IFERROR(INDEX(FILTER(tblAanvulling[Totaalbedrag],(tblAanvulling[Mdw.]=[@[Mdw.]])*(tblAanvulling[Bkjr.]=[@Opbouwjaar]),0),1),0))</f>
        <v/>
      </c>
      <c r="S414">
        <f>IF([@Aanvullingsrechtig]="Ja",[@Beginsaldo]*[@Aanvulling_pu],0)</f>
        <v/>
      </c>
      <c r="T414">
        <f>IF(AND([@Opbouwjaar]&lt;&gt;"",[@Beginsaldo]&lt;&gt;0,OR([@Aanvullingsrechtig]="Ja",[@Aanvullingsrechtig]="Nee")),1,0)</f>
        <v/>
      </c>
    </row>
    <row r="415">
      <c r="O415">
        <f>LET(t,[@[Type verlof]],s,SEQUENCE(MAX(1,LEN(t)-3)),k,IFERROR(--MID(t,s,4),0),g,FILTER(k,(k&gt;=2000)*(k&lt;=2100),""),IFERROR(INDEX(g,1),""))</f>
        <v/>
      </c>
      <c r="P415">
        <f>LET(t,[@[Type verlof]],jj,[@Opbouwjaar],s,IF(jj="",t,SUBSTITUTE(t," "&amp;jj,"")),TRIM(s))</f>
        <v/>
      </c>
      <c r="Q415">
        <f>IF([@[Type verlof]]="","",IFERROR(XLOOKUP([@Basis_type],tblInstellingen[Basis verloftype],tblInstellingen[Aanvullingsrechtig]),"ONBEKEND"))</f>
        <v/>
      </c>
      <c r="R415">
        <f>IF(OR([@Opbouwjaar]="",[@[Type verlof]]=""),0,IFERROR(INDEX(FILTER(tblAanvulling[Totaalbedrag],(tblAanvulling[Mdw.]=[@[Mdw.]])*(tblAanvulling[Bkjr.]=[@Opbouwjaar]),0),1),0))</f>
        <v/>
      </c>
      <c r="S415">
        <f>IF([@Aanvullingsrechtig]="Ja",[@Beginsaldo]*[@Aanvulling_pu],0)</f>
        <v/>
      </c>
      <c r="T415">
        <f>IF(AND([@Opbouwjaar]&lt;&gt;"",[@Beginsaldo]&lt;&gt;0,OR([@Aanvullingsrechtig]="Ja",[@Aanvullingsrechtig]="Nee")),1,0)</f>
        <v/>
      </c>
    </row>
    <row r="416">
      <c r="O416">
        <f>LET(t,[@[Type verlof]],s,SEQUENCE(MAX(1,LEN(t)-3)),k,IFERROR(--MID(t,s,4),0),g,FILTER(k,(k&gt;=2000)*(k&lt;=2100),""),IFERROR(INDEX(g,1),""))</f>
        <v/>
      </c>
      <c r="P416">
        <f>LET(t,[@[Type verlof]],jj,[@Opbouwjaar],s,IF(jj="",t,SUBSTITUTE(t," "&amp;jj,"")),TRIM(s))</f>
        <v/>
      </c>
      <c r="Q416">
        <f>IF([@[Type verlof]]="","",IFERROR(XLOOKUP([@Basis_type],tblInstellingen[Basis verloftype],tblInstellingen[Aanvullingsrechtig]),"ONBEKEND"))</f>
        <v/>
      </c>
      <c r="R416">
        <f>IF(OR([@Opbouwjaar]="",[@[Type verlof]]=""),0,IFERROR(INDEX(FILTER(tblAanvulling[Totaalbedrag],(tblAanvulling[Mdw.]=[@[Mdw.]])*(tblAanvulling[Bkjr.]=[@Opbouwjaar]),0),1),0))</f>
        <v/>
      </c>
      <c r="S416">
        <f>IF([@Aanvullingsrechtig]="Ja",[@Beginsaldo]*[@Aanvulling_pu],0)</f>
        <v/>
      </c>
      <c r="T416">
        <f>IF(AND([@Opbouwjaar]&lt;&gt;"",[@Beginsaldo]&lt;&gt;0,OR([@Aanvullingsrechtig]="Ja",[@Aanvullingsrechtig]="Nee")),1,0)</f>
        <v/>
      </c>
    </row>
    <row r="417">
      <c r="O417">
        <f>LET(t,[@[Type verlof]],s,SEQUENCE(MAX(1,LEN(t)-3)),k,IFERROR(--MID(t,s,4),0),g,FILTER(k,(k&gt;=2000)*(k&lt;=2100),""),IFERROR(INDEX(g,1),""))</f>
        <v/>
      </c>
      <c r="P417">
        <f>LET(t,[@[Type verlof]],jj,[@Opbouwjaar],s,IF(jj="",t,SUBSTITUTE(t," "&amp;jj,"")),TRIM(s))</f>
        <v/>
      </c>
      <c r="Q417">
        <f>IF([@[Type verlof]]="","",IFERROR(XLOOKUP([@Basis_type],tblInstellingen[Basis verloftype],tblInstellingen[Aanvullingsrechtig]),"ONBEKEND"))</f>
        <v/>
      </c>
      <c r="R417">
        <f>IF(OR([@Opbouwjaar]="",[@[Type verlof]]=""),0,IFERROR(INDEX(FILTER(tblAanvulling[Totaalbedrag],(tblAanvulling[Mdw.]=[@[Mdw.]])*(tblAanvulling[Bkjr.]=[@Opbouwjaar]),0),1),0))</f>
        <v/>
      </c>
      <c r="S417">
        <f>IF([@Aanvullingsrechtig]="Ja",[@Beginsaldo]*[@Aanvulling_pu],0)</f>
        <v/>
      </c>
      <c r="T417">
        <f>IF(AND([@Opbouwjaar]&lt;&gt;"",[@Beginsaldo]&lt;&gt;0,OR([@Aanvullingsrechtig]="Ja",[@Aanvullingsrechtig]="Nee")),1,0)</f>
        <v/>
      </c>
    </row>
    <row r="418">
      <c r="O418">
        <f>LET(t,[@[Type verlof]],s,SEQUENCE(MAX(1,LEN(t)-3)),k,IFERROR(--MID(t,s,4),0),g,FILTER(k,(k&gt;=2000)*(k&lt;=2100),""),IFERROR(INDEX(g,1),""))</f>
        <v/>
      </c>
      <c r="P418">
        <f>LET(t,[@[Type verlof]],jj,[@Opbouwjaar],s,IF(jj="",t,SUBSTITUTE(t," "&amp;jj,"")),TRIM(s))</f>
        <v/>
      </c>
      <c r="Q418">
        <f>IF([@[Type verlof]]="","",IFERROR(XLOOKUP([@Basis_type],tblInstellingen[Basis verloftype],tblInstellingen[Aanvullingsrechtig]),"ONBEKEND"))</f>
        <v/>
      </c>
      <c r="R418">
        <f>IF(OR([@Opbouwjaar]="",[@[Type verlof]]=""),0,IFERROR(INDEX(FILTER(tblAanvulling[Totaalbedrag],(tblAanvulling[Mdw.]=[@[Mdw.]])*(tblAanvulling[Bkjr.]=[@Opbouwjaar]),0),1),0))</f>
        <v/>
      </c>
      <c r="S418">
        <f>IF([@Aanvullingsrechtig]="Ja",[@Beginsaldo]*[@Aanvulling_pu],0)</f>
        <v/>
      </c>
      <c r="T418">
        <f>IF(AND([@Opbouwjaar]&lt;&gt;"",[@Beginsaldo]&lt;&gt;0,OR([@Aanvullingsrechtig]="Ja",[@Aanvullingsrechtig]="Nee")),1,0)</f>
        <v/>
      </c>
    </row>
    <row r="419">
      <c r="O419">
        <f>LET(t,[@[Type verlof]],s,SEQUENCE(MAX(1,LEN(t)-3)),k,IFERROR(--MID(t,s,4),0),g,FILTER(k,(k&gt;=2000)*(k&lt;=2100),""),IFERROR(INDEX(g,1),""))</f>
        <v/>
      </c>
      <c r="P419">
        <f>LET(t,[@[Type verlof]],jj,[@Opbouwjaar],s,IF(jj="",t,SUBSTITUTE(t," "&amp;jj,"")),TRIM(s))</f>
        <v/>
      </c>
      <c r="Q419">
        <f>IF([@[Type verlof]]="","",IFERROR(XLOOKUP([@Basis_type],tblInstellingen[Basis verloftype],tblInstellingen[Aanvullingsrechtig]),"ONBEKEND"))</f>
        <v/>
      </c>
      <c r="R419">
        <f>IF(OR([@Opbouwjaar]="",[@[Type verlof]]=""),0,IFERROR(INDEX(FILTER(tblAanvulling[Totaalbedrag],(tblAanvulling[Mdw.]=[@[Mdw.]])*(tblAanvulling[Bkjr.]=[@Opbouwjaar]),0),1),0))</f>
        <v/>
      </c>
      <c r="S419">
        <f>IF([@Aanvullingsrechtig]="Ja",[@Beginsaldo]*[@Aanvulling_pu],0)</f>
        <v/>
      </c>
      <c r="T419">
        <f>IF(AND([@Opbouwjaar]&lt;&gt;"",[@Beginsaldo]&lt;&gt;0,OR([@Aanvullingsrechtig]="Ja",[@Aanvullingsrechtig]="Nee")),1,0)</f>
        <v/>
      </c>
    </row>
    <row r="420">
      <c r="O420">
        <f>LET(t,[@[Type verlof]],s,SEQUENCE(MAX(1,LEN(t)-3)),k,IFERROR(--MID(t,s,4),0),g,FILTER(k,(k&gt;=2000)*(k&lt;=2100),""),IFERROR(INDEX(g,1),""))</f>
        <v/>
      </c>
      <c r="P420">
        <f>LET(t,[@[Type verlof]],jj,[@Opbouwjaar],s,IF(jj="",t,SUBSTITUTE(t," "&amp;jj,"")),TRIM(s))</f>
        <v/>
      </c>
      <c r="Q420">
        <f>IF([@[Type verlof]]="","",IFERROR(XLOOKUP([@Basis_type],tblInstellingen[Basis verloftype],tblInstellingen[Aanvullingsrechtig]),"ONBEKEND"))</f>
        <v/>
      </c>
      <c r="R420">
        <f>IF(OR([@Opbouwjaar]="",[@[Type verlof]]=""),0,IFERROR(INDEX(FILTER(tblAanvulling[Totaalbedrag],(tblAanvulling[Mdw.]=[@[Mdw.]])*(tblAanvulling[Bkjr.]=[@Opbouwjaar]),0),1),0))</f>
        <v/>
      </c>
      <c r="S420">
        <f>IF([@Aanvullingsrechtig]="Ja",[@Beginsaldo]*[@Aanvulling_pu],0)</f>
        <v/>
      </c>
      <c r="T420">
        <f>IF(AND([@Opbouwjaar]&lt;&gt;"",[@Beginsaldo]&lt;&gt;0,OR([@Aanvullingsrechtig]="Ja",[@Aanvullingsrechtig]="Nee")),1,0)</f>
        <v/>
      </c>
    </row>
    <row r="421">
      <c r="O421">
        <f>LET(t,[@[Type verlof]],s,SEQUENCE(MAX(1,LEN(t)-3)),k,IFERROR(--MID(t,s,4),0),g,FILTER(k,(k&gt;=2000)*(k&lt;=2100),""),IFERROR(INDEX(g,1),""))</f>
        <v/>
      </c>
      <c r="P421">
        <f>LET(t,[@[Type verlof]],jj,[@Opbouwjaar],s,IF(jj="",t,SUBSTITUTE(t," "&amp;jj,"")),TRIM(s))</f>
        <v/>
      </c>
      <c r="Q421">
        <f>IF([@[Type verlof]]="","",IFERROR(XLOOKUP([@Basis_type],tblInstellingen[Basis verloftype],tblInstellingen[Aanvullingsrechtig]),"ONBEKEND"))</f>
        <v/>
      </c>
      <c r="R421">
        <f>IF(OR([@Opbouwjaar]="",[@[Type verlof]]=""),0,IFERROR(INDEX(FILTER(tblAanvulling[Totaalbedrag],(tblAanvulling[Mdw.]=[@[Mdw.]])*(tblAanvulling[Bkjr.]=[@Opbouwjaar]),0),1),0))</f>
        <v/>
      </c>
      <c r="S421">
        <f>IF([@Aanvullingsrechtig]="Ja",[@Beginsaldo]*[@Aanvulling_pu],0)</f>
        <v/>
      </c>
      <c r="T421">
        <f>IF(AND([@Opbouwjaar]&lt;&gt;"",[@Beginsaldo]&lt;&gt;0,OR([@Aanvullingsrechtig]="Ja",[@Aanvullingsrechtig]="Nee")),1,0)</f>
        <v/>
      </c>
    </row>
    <row r="422">
      <c r="O422">
        <f>LET(t,[@[Type verlof]],s,SEQUENCE(MAX(1,LEN(t)-3)),k,IFERROR(--MID(t,s,4),0),g,FILTER(k,(k&gt;=2000)*(k&lt;=2100),""),IFERROR(INDEX(g,1),""))</f>
        <v/>
      </c>
      <c r="P422">
        <f>LET(t,[@[Type verlof]],jj,[@Opbouwjaar],s,IF(jj="",t,SUBSTITUTE(t," "&amp;jj,"")),TRIM(s))</f>
        <v/>
      </c>
      <c r="Q422">
        <f>IF([@[Type verlof]]="","",IFERROR(XLOOKUP([@Basis_type],tblInstellingen[Basis verloftype],tblInstellingen[Aanvullingsrechtig]),"ONBEKEND"))</f>
        <v/>
      </c>
      <c r="R422">
        <f>IF(OR([@Opbouwjaar]="",[@[Type verlof]]=""),0,IFERROR(INDEX(FILTER(tblAanvulling[Totaalbedrag],(tblAanvulling[Mdw.]=[@[Mdw.]])*(tblAanvulling[Bkjr.]=[@Opbouwjaar]),0),1),0))</f>
        <v/>
      </c>
      <c r="S422">
        <f>IF([@Aanvullingsrechtig]="Ja",[@Beginsaldo]*[@Aanvulling_pu],0)</f>
        <v/>
      </c>
      <c r="T422">
        <f>IF(AND([@Opbouwjaar]&lt;&gt;"",[@Beginsaldo]&lt;&gt;0,OR([@Aanvullingsrechtig]="Ja",[@Aanvullingsrechtig]="Nee")),1,0)</f>
        <v/>
      </c>
    </row>
    <row r="423">
      <c r="O423">
        <f>LET(t,[@[Type verlof]],s,SEQUENCE(MAX(1,LEN(t)-3)),k,IFERROR(--MID(t,s,4),0),g,FILTER(k,(k&gt;=2000)*(k&lt;=2100),""),IFERROR(INDEX(g,1),""))</f>
        <v/>
      </c>
      <c r="P423">
        <f>LET(t,[@[Type verlof]],jj,[@Opbouwjaar],s,IF(jj="",t,SUBSTITUTE(t," "&amp;jj,"")),TRIM(s))</f>
        <v/>
      </c>
      <c r="Q423">
        <f>IF([@[Type verlof]]="","",IFERROR(XLOOKUP([@Basis_type],tblInstellingen[Basis verloftype],tblInstellingen[Aanvullingsrechtig]),"ONBEKEND"))</f>
        <v/>
      </c>
      <c r="R423">
        <f>IF(OR([@Opbouwjaar]="",[@[Type verlof]]=""),0,IFERROR(INDEX(FILTER(tblAanvulling[Totaalbedrag],(tblAanvulling[Mdw.]=[@[Mdw.]])*(tblAanvulling[Bkjr.]=[@Opbouwjaar]),0),1),0))</f>
        <v/>
      </c>
      <c r="S423">
        <f>IF([@Aanvullingsrechtig]="Ja",[@Beginsaldo]*[@Aanvulling_pu],0)</f>
        <v/>
      </c>
      <c r="T423">
        <f>IF(AND([@Opbouwjaar]&lt;&gt;"",[@Beginsaldo]&lt;&gt;0,OR([@Aanvullingsrechtig]="Ja",[@Aanvullingsrechtig]="Nee")),1,0)</f>
        <v/>
      </c>
    </row>
    <row r="424">
      <c r="O424">
        <f>LET(t,[@[Type verlof]],s,SEQUENCE(MAX(1,LEN(t)-3)),k,IFERROR(--MID(t,s,4),0),g,FILTER(k,(k&gt;=2000)*(k&lt;=2100),""),IFERROR(INDEX(g,1),""))</f>
        <v/>
      </c>
      <c r="P424">
        <f>LET(t,[@[Type verlof]],jj,[@Opbouwjaar],s,IF(jj="",t,SUBSTITUTE(t," "&amp;jj,"")),TRIM(s))</f>
        <v/>
      </c>
      <c r="Q424">
        <f>IF([@[Type verlof]]="","",IFERROR(XLOOKUP([@Basis_type],tblInstellingen[Basis verloftype],tblInstellingen[Aanvullingsrechtig]),"ONBEKEND"))</f>
        <v/>
      </c>
      <c r="R424">
        <f>IF(OR([@Opbouwjaar]="",[@[Type verlof]]=""),0,IFERROR(INDEX(FILTER(tblAanvulling[Totaalbedrag],(tblAanvulling[Mdw.]=[@[Mdw.]])*(tblAanvulling[Bkjr.]=[@Opbouwjaar]),0),1),0))</f>
        <v/>
      </c>
      <c r="S424">
        <f>IF([@Aanvullingsrechtig]="Ja",[@Beginsaldo]*[@Aanvulling_pu],0)</f>
        <v/>
      </c>
      <c r="T424">
        <f>IF(AND([@Opbouwjaar]&lt;&gt;"",[@Beginsaldo]&lt;&gt;0,OR([@Aanvullingsrechtig]="Ja",[@Aanvullingsrechtig]="Nee")),1,0)</f>
        <v/>
      </c>
    </row>
    <row r="425">
      <c r="O425">
        <f>LET(t,[@[Type verlof]],s,SEQUENCE(MAX(1,LEN(t)-3)),k,IFERROR(--MID(t,s,4),0),g,FILTER(k,(k&gt;=2000)*(k&lt;=2100),""),IFERROR(INDEX(g,1),""))</f>
        <v/>
      </c>
      <c r="P425">
        <f>LET(t,[@[Type verlof]],jj,[@Opbouwjaar],s,IF(jj="",t,SUBSTITUTE(t," "&amp;jj,"")),TRIM(s))</f>
        <v/>
      </c>
      <c r="Q425">
        <f>IF([@[Type verlof]]="","",IFERROR(XLOOKUP([@Basis_type],tblInstellingen[Basis verloftype],tblInstellingen[Aanvullingsrechtig]),"ONBEKEND"))</f>
        <v/>
      </c>
      <c r="R425">
        <f>IF(OR([@Opbouwjaar]="",[@[Type verlof]]=""),0,IFERROR(INDEX(FILTER(tblAanvulling[Totaalbedrag],(tblAanvulling[Mdw.]=[@[Mdw.]])*(tblAanvulling[Bkjr.]=[@Opbouwjaar]),0),1),0))</f>
        <v/>
      </c>
      <c r="S425">
        <f>IF([@Aanvullingsrechtig]="Ja",[@Beginsaldo]*[@Aanvulling_pu],0)</f>
        <v/>
      </c>
      <c r="T425">
        <f>IF(AND([@Opbouwjaar]&lt;&gt;"",[@Beginsaldo]&lt;&gt;0,OR([@Aanvullingsrechtig]="Ja",[@Aanvullingsrechtig]="Nee")),1,0)</f>
        <v/>
      </c>
    </row>
    <row r="426">
      <c r="O426">
        <f>LET(t,[@[Type verlof]],s,SEQUENCE(MAX(1,LEN(t)-3)),k,IFERROR(--MID(t,s,4),0),g,FILTER(k,(k&gt;=2000)*(k&lt;=2100),""),IFERROR(INDEX(g,1),""))</f>
        <v/>
      </c>
      <c r="P426">
        <f>LET(t,[@[Type verlof]],jj,[@Opbouwjaar],s,IF(jj="",t,SUBSTITUTE(t," "&amp;jj,"")),TRIM(s))</f>
        <v/>
      </c>
      <c r="Q426">
        <f>IF([@[Type verlof]]="","",IFERROR(XLOOKUP([@Basis_type],tblInstellingen[Basis verloftype],tblInstellingen[Aanvullingsrechtig]),"ONBEKEND"))</f>
        <v/>
      </c>
      <c r="R426">
        <f>IF(OR([@Opbouwjaar]="",[@[Type verlof]]=""),0,IFERROR(INDEX(FILTER(tblAanvulling[Totaalbedrag],(tblAanvulling[Mdw.]=[@[Mdw.]])*(tblAanvulling[Bkjr.]=[@Opbouwjaar]),0),1),0))</f>
        <v/>
      </c>
      <c r="S426">
        <f>IF([@Aanvullingsrechtig]="Ja",[@Beginsaldo]*[@Aanvulling_pu],0)</f>
        <v/>
      </c>
      <c r="T426">
        <f>IF(AND([@Opbouwjaar]&lt;&gt;"",[@Beginsaldo]&lt;&gt;0,OR([@Aanvullingsrechtig]="Ja",[@Aanvullingsrechtig]="Nee")),1,0)</f>
        <v/>
      </c>
    </row>
    <row r="427">
      <c r="O427">
        <f>LET(t,[@[Type verlof]],s,SEQUENCE(MAX(1,LEN(t)-3)),k,IFERROR(--MID(t,s,4),0),g,FILTER(k,(k&gt;=2000)*(k&lt;=2100),""),IFERROR(INDEX(g,1),""))</f>
        <v/>
      </c>
      <c r="P427">
        <f>LET(t,[@[Type verlof]],jj,[@Opbouwjaar],s,IF(jj="",t,SUBSTITUTE(t," "&amp;jj,"")),TRIM(s))</f>
        <v/>
      </c>
      <c r="Q427">
        <f>IF([@[Type verlof]]="","",IFERROR(XLOOKUP([@Basis_type],tblInstellingen[Basis verloftype],tblInstellingen[Aanvullingsrechtig]),"ONBEKEND"))</f>
        <v/>
      </c>
      <c r="R427">
        <f>IF(OR([@Opbouwjaar]="",[@[Type verlof]]=""),0,IFERROR(INDEX(FILTER(tblAanvulling[Totaalbedrag],(tblAanvulling[Mdw.]=[@[Mdw.]])*(tblAanvulling[Bkjr.]=[@Opbouwjaar]),0),1),0))</f>
        <v/>
      </c>
      <c r="S427">
        <f>IF([@Aanvullingsrechtig]="Ja",[@Beginsaldo]*[@Aanvulling_pu],0)</f>
        <v/>
      </c>
      <c r="T427">
        <f>IF(AND([@Opbouwjaar]&lt;&gt;"",[@Beginsaldo]&lt;&gt;0,OR([@Aanvullingsrechtig]="Ja",[@Aanvullingsrechtig]="Nee")),1,0)</f>
        <v/>
      </c>
    </row>
    <row r="428">
      <c r="O428">
        <f>LET(t,[@[Type verlof]],s,SEQUENCE(MAX(1,LEN(t)-3)),k,IFERROR(--MID(t,s,4),0),g,FILTER(k,(k&gt;=2000)*(k&lt;=2100),""),IFERROR(INDEX(g,1),""))</f>
        <v/>
      </c>
      <c r="P428">
        <f>LET(t,[@[Type verlof]],jj,[@Opbouwjaar],s,IF(jj="",t,SUBSTITUTE(t," "&amp;jj,"")),TRIM(s))</f>
        <v/>
      </c>
      <c r="Q428">
        <f>IF([@[Type verlof]]="","",IFERROR(XLOOKUP([@Basis_type],tblInstellingen[Basis verloftype],tblInstellingen[Aanvullingsrechtig]),"ONBEKEND"))</f>
        <v/>
      </c>
      <c r="R428">
        <f>IF(OR([@Opbouwjaar]="",[@[Type verlof]]=""),0,IFERROR(INDEX(FILTER(tblAanvulling[Totaalbedrag],(tblAanvulling[Mdw.]=[@[Mdw.]])*(tblAanvulling[Bkjr.]=[@Opbouwjaar]),0),1),0))</f>
        <v/>
      </c>
      <c r="S428">
        <f>IF([@Aanvullingsrechtig]="Ja",[@Beginsaldo]*[@Aanvulling_pu],0)</f>
        <v/>
      </c>
      <c r="T428">
        <f>IF(AND([@Opbouwjaar]&lt;&gt;"",[@Beginsaldo]&lt;&gt;0,OR([@Aanvullingsrechtig]="Ja",[@Aanvullingsrechtig]="Nee")),1,0)</f>
        <v/>
      </c>
    </row>
    <row r="429">
      <c r="O429">
        <f>LET(t,[@[Type verlof]],s,SEQUENCE(MAX(1,LEN(t)-3)),k,IFERROR(--MID(t,s,4),0),g,FILTER(k,(k&gt;=2000)*(k&lt;=2100),""),IFERROR(INDEX(g,1),""))</f>
        <v/>
      </c>
      <c r="P429">
        <f>LET(t,[@[Type verlof]],jj,[@Opbouwjaar],s,IF(jj="",t,SUBSTITUTE(t," "&amp;jj,"")),TRIM(s))</f>
        <v/>
      </c>
      <c r="Q429">
        <f>IF([@[Type verlof]]="","",IFERROR(XLOOKUP([@Basis_type],tblInstellingen[Basis verloftype],tblInstellingen[Aanvullingsrechtig]),"ONBEKEND"))</f>
        <v/>
      </c>
      <c r="R429">
        <f>IF(OR([@Opbouwjaar]="",[@[Type verlof]]=""),0,IFERROR(INDEX(FILTER(tblAanvulling[Totaalbedrag],(tblAanvulling[Mdw.]=[@[Mdw.]])*(tblAanvulling[Bkjr.]=[@Opbouwjaar]),0),1),0))</f>
        <v/>
      </c>
      <c r="S429">
        <f>IF([@Aanvullingsrechtig]="Ja",[@Beginsaldo]*[@Aanvulling_pu],0)</f>
        <v/>
      </c>
      <c r="T429">
        <f>IF(AND([@Opbouwjaar]&lt;&gt;"",[@Beginsaldo]&lt;&gt;0,OR([@Aanvullingsrechtig]="Ja",[@Aanvullingsrechtig]="Nee")),1,0)</f>
        <v/>
      </c>
    </row>
    <row r="430">
      <c r="O430">
        <f>LET(t,[@[Type verlof]],s,SEQUENCE(MAX(1,LEN(t)-3)),k,IFERROR(--MID(t,s,4),0),g,FILTER(k,(k&gt;=2000)*(k&lt;=2100),""),IFERROR(INDEX(g,1),""))</f>
        <v/>
      </c>
      <c r="P430">
        <f>LET(t,[@[Type verlof]],jj,[@Opbouwjaar],s,IF(jj="",t,SUBSTITUTE(t," "&amp;jj,"")),TRIM(s))</f>
        <v/>
      </c>
      <c r="Q430">
        <f>IF([@[Type verlof]]="","",IFERROR(XLOOKUP([@Basis_type],tblInstellingen[Basis verloftype],tblInstellingen[Aanvullingsrechtig]),"ONBEKEND"))</f>
        <v/>
      </c>
      <c r="R430">
        <f>IF(OR([@Opbouwjaar]="",[@[Type verlof]]=""),0,IFERROR(INDEX(FILTER(tblAanvulling[Totaalbedrag],(tblAanvulling[Mdw.]=[@[Mdw.]])*(tblAanvulling[Bkjr.]=[@Opbouwjaar]),0),1),0))</f>
        <v/>
      </c>
      <c r="S430">
        <f>IF([@Aanvullingsrechtig]="Ja",[@Beginsaldo]*[@Aanvulling_pu],0)</f>
        <v/>
      </c>
      <c r="T430">
        <f>IF(AND([@Opbouwjaar]&lt;&gt;"",[@Beginsaldo]&lt;&gt;0,OR([@Aanvullingsrechtig]="Ja",[@Aanvullingsrechtig]="Nee")),1,0)</f>
        <v/>
      </c>
    </row>
    <row r="431">
      <c r="O431">
        <f>LET(t,[@[Type verlof]],s,SEQUENCE(MAX(1,LEN(t)-3)),k,IFERROR(--MID(t,s,4),0),g,FILTER(k,(k&gt;=2000)*(k&lt;=2100),""),IFERROR(INDEX(g,1),""))</f>
        <v/>
      </c>
      <c r="P431">
        <f>LET(t,[@[Type verlof]],jj,[@Opbouwjaar],s,IF(jj="",t,SUBSTITUTE(t," "&amp;jj,"")),TRIM(s))</f>
        <v/>
      </c>
      <c r="Q431">
        <f>IF([@[Type verlof]]="","",IFERROR(XLOOKUP([@Basis_type],tblInstellingen[Basis verloftype],tblInstellingen[Aanvullingsrechtig]),"ONBEKEND"))</f>
        <v/>
      </c>
      <c r="R431">
        <f>IF(OR([@Opbouwjaar]="",[@[Type verlof]]=""),0,IFERROR(INDEX(FILTER(tblAanvulling[Totaalbedrag],(tblAanvulling[Mdw.]=[@[Mdw.]])*(tblAanvulling[Bkjr.]=[@Opbouwjaar]),0),1),0))</f>
        <v/>
      </c>
      <c r="S431">
        <f>IF([@Aanvullingsrechtig]="Ja",[@Beginsaldo]*[@Aanvulling_pu],0)</f>
        <v/>
      </c>
      <c r="T431">
        <f>IF(AND([@Opbouwjaar]&lt;&gt;"",[@Beginsaldo]&lt;&gt;0,OR([@Aanvullingsrechtig]="Ja",[@Aanvullingsrechtig]="Nee")),1,0)</f>
        <v/>
      </c>
    </row>
    <row r="432">
      <c r="O432">
        <f>LET(t,[@[Type verlof]],s,SEQUENCE(MAX(1,LEN(t)-3)),k,IFERROR(--MID(t,s,4),0),g,FILTER(k,(k&gt;=2000)*(k&lt;=2100),""),IFERROR(INDEX(g,1),""))</f>
        <v/>
      </c>
      <c r="P432">
        <f>LET(t,[@[Type verlof]],jj,[@Opbouwjaar],s,IF(jj="",t,SUBSTITUTE(t," "&amp;jj,"")),TRIM(s))</f>
        <v/>
      </c>
      <c r="Q432">
        <f>IF([@[Type verlof]]="","",IFERROR(XLOOKUP([@Basis_type],tblInstellingen[Basis verloftype],tblInstellingen[Aanvullingsrechtig]),"ONBEKEND"))</f>
        <v/>
      </c>
      <c r="R432">
        <f>IF(OR([@Opbouwjaar]="",[@[Type verlof]]=""),0,IFERROR(INDEX(FILTER(tblAanvulling[Totaalbedrag],(tblAanvulling[Mdw.]=[@[Mdw.]])*(tblAanvulling[Bkjr.]=[@Opbouwjaar]),0),1),0))</f>
        <v/>
      </c>
      <c r="S432">
        <f>IF([@Aanvullingsrechtig]="Ja",[@Beginsaldo]*[@Aanvulling_pu],0)</f>
        <v/>
      </c>
      <c r="T432">
        <f>IF(AND([@Opbouwjaar]&lt;&gt;"",[@Beginsaldo]&lt;&gt;0,OR([@Aanvullingsrechtig]="Ja",[@Aanvullingsrechtig]="Nee")),1,0)</f>
        <v/>
      </c>
    </row>
    <row r="433">
      <c r="O433">
        <f>LET(t,[@[Type verlof]],s,SEQUENCE(MAX(1,LEN(t)-3)),k,IFERROR(--MID(t,s,4),0),g,FILTER(k,(k&gt;=2000)*(k&lt;=2100),""),IFERROR(INDEX(g,1),""))</f>
        <v/>
      </c>
      <c r="P433">
        <f>LET(t,[@[Type verlof]],jj,[@Opbouwjaar],s,IF(jj="",t,SUBSTITUTE(t," "&amp;jj,"")),TRIM(s))</f>
        <v/>
      </c>
      <c r="Q433">
        <f>IF([@[Type verlof]]="","",IFERROR(XLOOKUP([@Basis_type],tblInstellingen[Basis verloftype],tblInstellingen[Aanvullingsrechtig]),"ONBEKEND"))</f>
        <v/>
      </c>
      <c r="R433">
        <f>IF(OR([@Opbouwjaar]="",[@[Type verlof]]=""),0,IFERROR(INDEX(FILTER(tblAanvulling[Totaalbedrag],(tblAanvulling[Mdw.]=[@[Mdw.]])*(tblAanvulling[Bkjr.]=[@Opbouwjaar]),0),1),0))</f>
        <v/>
      </c>
      <c r="S433">
        <f>IF([@Aanvullingsrechtig]="Ja",[@Beginsaldo]*[@Aanvulling_pu],0)</f>
        <v/>
      </c>
      <c r="T433">
        <f>IF(AND([@Opbouwjaar]&lt;&gt;"",[@Beginsaldo]&lt;&gt;0,OR([@Aanvullingsrechtig]="Ja",[@Aanvullingsrechtig]="Nee")),1,0)</f>
        <v/>
      </c>
    </row>
    <row r="434">
      <c r="O434">
        <f>LET(t,[@[Type verlof]],s,SEQUENCE(MAX(1,LEN(t)-3)),k,IFERROR(--MID(t,s,4),0),g,FILTER(k,(k&gt;=2000)*(k&lt;=2100),""),IFERROR(INDEX(g,1),""))</f>
        <v/>
      </c>
      <c r="P434">
        <f>LET(t,[@[Type verlof]],jj,[@Opbouwjaar],s,IF(jj="",t,SUBSTITUTE(t," "&amp;jj,"")),TRIM(s))</f>
        <v/>
      </c>
      <c r="Q434">
        <f>IF([@[Type verlof]]="","",IFERROR(XLOOKUP([@Basis_type],tblInstellingen[Basis verloftype],tblInstellingen[Aanvullingsrechtig]),"ONBEKEND"))</f>
        <v/>
      </c>
      <c r="R434">
        <f>IF(OR([@Opbouwjaar]="",[@[Type verlof]]=""),0,IFERROR(INDEX(FILTER(tblAanvulling[Totaalbedrag],(tblAanvulling[Mdw.]=[@[Mdw.]])*(tblAanvulling[Bkjr.]=[@Opbouwjaar]),0),1),0))</f>
        <v/>
      </c>
      <c r="S434">
        <f>IF([@Aanvullingsrechtig]="Ja",[@Beginsaldo]*[@Aanvulling_pu],0)</f>
        <v/>
      </c>
      <c r="T434">
        <f>IF(AND([@Opbouwjaar]&lt;&gt;"",[@Beginsaldo]&lt;&gt;0,OR([@Aanvullingsrechtig]="Ja",[@Aanvullingsrechtig]="Nee")),1,0)</f>
        <v/>
      </c>
    </row>
    <row r="435">
      <c r="O435">
        <f>LET(t,[@[Type verlof]],s,SEQUENCE(MAX(1,LEN(t)-3)),k,IFERROR(--MID(t,s,4),0),g,FILTER(k,(k&gt;=2000)*(k&lt;=2100),""),IFERROR(INDEX(g,1),""))</f>
        <v/>
      </c>
      <c r="P435">
        <f>LET(t,[@[Type verlof]],jj,[@Opbouwjaar],s,IF(jj="",t,SUBSTITUTE(t," "&amp;jj,"")),TRIM(s))</f>
        <v/>
      </c>
      <c r="Q435">
        <f>IF([@[Type verlof]]="","",IFERROR(XLOOKUP([@Basis_type],tblInstellingen[Basis verloftype],tblInstellingen[Aanvullingsrechtig]),"ONBEKEND"))</f>
        <v/>
      </c>
      <c r="R435">
        <f>IF(OR([@Opbouwjaar]="",[@[Type verlof]]=""),0,IFERROR(INDEX(FILTER(tblAanvulling[Totaalbedrag],(tblAanvulling[Mdw.]=[@[Mdw.]])*(tblAanvulling[Bkjr.]=[@Opbouwjaar]),0),1),0))</f>
        <v/>
      </c>
      <c r="S435">
        <f>IF([@Aanvullingsrechtig]="Ja",[@Beginsaldo]*[@Aanvulling_pu],0)</f>
        <v/>
      </c>
      <c r="T435">
        <f>IF(AND([@Opbouwjaar]&lt;&gt;"",[@Beginsaldo]&lt;&gt;0,OR([@Aanvullingsrechtig]="Ja",[@Aanvullingsrechtig]="Nee")),1,0)</f>
        <v/>
      </c>
    </row>
    <row r="436">
      <c r="O436">
        <f>LET(t,[@[Type verlof]],s,SEQUENCE(MAX(1,LEN(t)-3)),k,IFERROR(--MID(t,s,4),0),g,FILTER(k,(k&gt;=2000)*(k&lt;=2100),""),IFERROR(INDEX(g,1),""))</f>
        <v/>
      </c>
      <c r="P436">
        <f>LET(t,[@[Type verlof]],jj,[@Opbouwjaar],s,IF(jj="",t,SUBSTITUTE(t," "&amp;jj,"")),TRIM(s))</f>
        <v/>
      </c>
      <c r="Q436">
        <f>IF([@[Type verlof]]="","",IFERROR(XLOOKUP([@Basis_type],tblInstellingen[Basis verloftype],tblInstellingen[Aanvullingsrechtig]),"ONBEKEND"))</f>
        <v/>
      </c>
      <c r="R436">
        <f>IF(OR([@Opbouwjaar]="",[@[Type verlof]]=""),0,IFERROR(INDEX(FILTER(tblAanvulling[Totaalbedrag],(tblAanvulling[Mdw.]=[@[Mdw.]])*(tblAanvulling[Bkjr.]=[@Opbouwjaar]),0),1),0))</f>
        <v/>
      </c>
      <c r="S436">
        <f>IF([@Aanvullingsrechtig]="Ja",[@Beginsaldo]*[@Aanvulling_pu],0)</f>
        <v/>
      </c>
      <c r="T436">
        <f>IF(AND([@Opbouwjaar]&lt;&gt;"",[@Beginsaldo]&lt;&gt;0,OR([@Aanvullingsrechtig]="Ja",[@Aanvullingsrechtig]="Nee")),1,0)</f>
        <v/>
      </c>
    </row>
    <row r="437">
      <c r="O437">
        <f>LET(t,[@[Type verlof]],s,SEQUENCE(MAX(1,LEN(t)-3)),k,IFERROR(--MID(t,s,4),0),g,FILTER(k,(k&gt;=2000)*(k&lt;=2100),""),IFERROR(INDEX(g,1),""))</f>
        <v/>
      </c>
      <c r="P437">
        <f>LET(t,[@[Type verlof]],jj,[@Opbouwjaar],s,IF(jj="",t,SUBSTITUTE(t," "&amp;jj,"")),TRIM(s))</f>
        <v/>
      </c>
      <c r="Q437">
        <f>IF([@[Type verlof]]="","",IFERROR(XLOOKUP([@Basis_type],tblInstellingen[Basis verloftype],tblInstellingen[Aanvullingsrechtig]),"ONBEKEND"))</f>
        <v/>
      </c>
      <c r="R437">
        <f>IF(OR([@Opbouwjaar]="",[@[Type verlof]]=""),0,IFERROR(INDEX(FILTER(tblAanvulling[Totaalbedrag],(tblAanvulling[Mdw.]=[@[Mdw.]])*(tblAanvulling[Bkjr.]=[@Opbouwjaar]),0),1),0))</f>
        <v/>
      </c>
      <c r="S437">
        <f>IF([@Aanvullingsrechtig]="Ja",[@Beginsaldo]*[@Aanvulling_pu],0)</f>
        <v/>
      </c>
      <c r="T437">
        <f>IF(AND([@Opbouwjaar]&lt;&gt;"",[@Beginsaldo]&lt;&gt;0,OR([@Aanvullingsrechtig]="Ja",[@Aanvullingsrechtig]="Nee")),1,0)</f>
        <v/>
      </c>
    </row>
    <row r="438">
      <c r="O438">
        <f>LET(t,[@[Type verlof]],s,SEQUENCE(MAX(1,LEN(t)-3)),k,IFERROR(--MID(t,s,4),0),g,FILTER(k,(k&gt;=2000)*(k&lt;=2100),""),IFERROR(INDEX(g,1),""))</f>
        <v/>
      </c>
      <c r="P438">
        <f>LET(t,[@[Type verlof]],jj,[@Opbouwjaar],s,IF(jj="",t,SUBSTITUTE(t," "&amp;jj,"")),TRIM(s))</f>
        <v/>
      </c>
      <c r="Q438">
        <f>IF([@[Type verlof]]="","",IFERROR(XLOOKUP([@Basis_type],tblInstellingen[Basis verloftype],tblInstellingen[Aanvullingsrechtig]),"ONBEKEND"))</f>
        <v/>
      </c>
      <c r="R438">
        <f>IF(OR([@Opbouwjaar]="",[@[Type verlof]]=""),0,IFERROR(INDEX(FILTER(tblAanvulling[Totaalbedrag],(tblAanvulling[Mdw.]=[@[Mdw.]])*(tblAanvulling[Bkjr.]=[@Opbouwjaar]),0),1),0))</f>
        <v/>
      </c>
      <c r="S438">
        <f>IF([@Aanvullingsrechtig]="Ja",[@Beginsaldo]*[@Aanvulling_pu],0)</f>
        <v/>
      </c>
      <c r="T438">
        <f>IF(AND([@Opbouwjaar]&lt;&gt;"",[@Beginsaldo]&lt;&gt;0,OR([@Aanvullingsrechtig]="Ja",[@Aanvullingsrechtig]="Nee")),1,0)</f>
        <v/>
      </c>
    </row>
    <row r="439">
      <c r="O439">
        <f>LET(t,[@[Type verlof]],s,SEQUENCE(MAX(1,LEN(t)-3)),k,IFERROR(--MID(t,s,4),0),g,FILTER(k,(k&gt;=2000)*(k&lt;=2100),""),IFERROR(INDEX(g,1),""))</f>
        <v/>
      </c>
      <c r="P439">
        <f>LET(t,[@[Type verlof]],jj,[@Opbouwjaar],s,IF(jj="",t,SUBSTITUTE(t," "&amp;jj,"")),TRIM(s))</f>
        <v/>
      </c>
      <c r="Q439">
        <f>IF([@[Type verlof]]="","",IFERROR(XLOOKUP([@Basis_type],tblInstellingen[Basis verloftype],tblInstellingen[Aanvullingsrechtig]),"ONBEKEND"))</f>
        <v/>
      </c>
      <c r="R439">
        <f>IF(OR([@Opbouwjaar]="",[@[Type verlof]]=""),0,IFERROR(INDEX(FILTER(tblAanvulling[Totaalbedrag],(tblAanvulling[Mdw.]=[@[Mdw.]])*(tblAanvulling[Bkjr.]=[@Opbouwjaar]),0),1),0))</f>
        <v/>
      </c>
      <c r="S439">
        <f>IF([@Aanvullingsrechtig]="Ja",[@Beginsaldo]*[@Aanvulling_pu],0)</f>
        <v/>
      </c>
      <c r="T439">
        <f>IF(AND([@Opbouwjaar]&lt;&gt;"",[@Beginsaldo]&lt;&gt;0,OR([@Aanvullingsrechtig]="Ja",[@Aanvullingsrechtig]="Nee")),1,0)</f>
        <v/>
      </c>
    </row>
    <row r="440">
      <c r="O440">
        <f>LET(t,[@[Type verlof]],s,SEQUENCE(MAX(1,LEN(t)-3)),k,IFERROR(--MID(t,s,4),0),g,FILTER(k,(k&gt;=2000)*(k&lt;=2100),""),IFERROR(INDEX(g,1),""))</f>
        <v/>
      </c>
      <c r="P440">
        <f>LET(t,[@[Type verlof]],jj,[@Opbouwjaar],s,IF(jj="",t,SUBSTITUTE(t," "&amp;jj,"")),TRIM(s))</f>
        <v/>
      </c>
      <c r="Q440">
        <f>IF([@[Type verlof]]="","",IFERROR(XLOOKUP([@Basis_type],tblInstellingen[Basis verloftype],tblInstellingen[Aanvullingsrechtig]),"ONBEKEND"))</f>
        <v/>
      </c>
      <c r="R440">
        <f>IF(OR([@Opbouwjaar]="",[@[Type verlof]]=""),0,IFERROR(INDEX(FILTER(tblAanvulling[Totaalbedrag],(tblAanvulling[Mdw.]=[@[Mdw.]])*(tblAanvulling[Bkjr.]=[@Opbouwjaar]),0),1),0))</f>
        <v/>
      </c>
      <c r="S440">
        <f>IF([@Aanvullingsrechtig]="Ja",[@Beginsaldo]*[@Aanvulling_pu],0)</f>
        <v/>
      </c>
      <c r="T440">
        <f>IF(AND([@Opbouwjaar]&lt;&gt;"",[@Beginsaldo]&lt;&gt;0,OR([@Aanvullingsrechtig]="Ja",[@Aanvullingsrechtig]="Nee")),1,0)</f>
        <v/>
      </c>
    </row>
    <row r="441">
      <c r="O441">
        <f>LET(t,[@[Type verlof]],s,SEQUENCE(MAX(1,LEN(t)-3)),k,IFERROR(--MID(t,s,4),0),g,FILTER(k,(k&gt;=2000)*(k&lt;=2100),""),IFERROR(INDEX(g,1),""))</f>
        <v/>
      </c>
      <c r="P441">
        <f>LET(t,[@[Type verlof]],jj,[@Opbouwjaar],s,IF(jj="",t,SUBSTITUTE(t," "&amp;jj,"")),TRIM(s))</f>
        <v/>
      </c>
      <c r="Q441">
        <f>IF([@[Type verlof]]="","",IFERROR(XLOOKUP([@Basis_type],tblInstellingen[Basis verloftype],tblInstellingen[Aanvullingsrechtig]),"ONBEKEND"))</f>
        <v/>
      </c>
      <c r="R441">
        <f>IF(OR([@Opbouwjaar]="",[@[Type verlof]]=""),0,IFERROR(INDEX(FILTER(tblAanvulling[Totaalbedrag],(tblAanvulling[Mdw.]=[@[Mdw.]])*(tblAanvulling[Bkjr.]=[@Opbouwjaar]),0),1),0))</f>
        <v/>
      </c>
      <c r="S441">
        <f>IF([@Aanvullingsrechtig]="Ja",[@Beginsaldo]*[@Aanvulling_pu],0)</f>
        <v/>
      </c>
      <c r="T441">
        <f>IF(AND([@Opbouwjaar]&lt;&gt;"",[@Beginsaldo]&lt;&gt;0,OR([@Aanvullingsrechtig]="Ja",[@Aanvullingsrechtig]="Nee")),1,0)</f>
        <v/>
      </c>
    </row>
    <row r="442">
      <c r="O442">
        <f>LET(t,[@[Type verlof]],s,SEQUENCE(MAX(1,LEN(t)-3)),k,IFERROR(--MID(t,s,4),0),g,FILTER(k,(k&gt;=2000)*(k&lt;=2100),""),IFERROR(INDEX(g,1),""))</f>
        <v/>
      </c>
      <c r="P442">
        <f>LET(t,[@[Type verlof]],jj,[@Opbouwjaar],s,IF(jj="",t,SUBSTITUTE(t," "&amp;jj,"")),TRIM(s))</f>
        <v/>
      </c>
      <c r="Q442">
        <f>IF([@[Type verlof]]="","",IFERROR(XLOOKUP([@Basis_type],tblInstellingen[Basis verloftype],tblInstellingen[Aanvullingsrechtig]),"ONBEKEND"))</f>
        <v/>
      </c>
      <c r="R442">
        <f>IF(OR([@Opbouwjaar]="",[@[Type verlof]]=""),0,IFERROR(INDEX(FILTER(tblAanvulling[Totaalbedrag],(tblAanvulling[Mdw.]=[@[Mdw.]])*(tblAanvulling[Bkjr.]=[@Opbouwjaar]),0),1),0))</f>
        <v/>
      </c>
      <c r="S442">
        <f>IF([@Aanvullingsrechtig]="Ja",[@Beginsaldo]*[@Aanvulling_pu],0)</f>
        <v/>
      </c>
      <c r="T442">
        <f>IF(AND([@Opbouwjaar]&lt;&gt;"",[@Beginsaldo]&lt;&gt;0,OR([@Aanvullingsrechtig]="Ja",[@Aanvullingsrechtig]="Nee")),1,0)</f>
        <v/>
      </c>
    </row>
    <row r="443">
      <c r="O443">
        <f>LET(t,[@[Type verlof]],s,SEQUENCE(MAX(1,LEN(t)-3)),k,IFERROR(--MID(t,s,4),0),g,FILTER(k,(k&gt;=2000)*(k&lt;=2100),""),IFERROR(INDEX(g,1),""))</f>
        <v/>
      </c>
      <c r="P443">
        <f>LET(t,[@[Type verlof]],jj,[@Opbouwjaar],s,IF(jj="",t,SUBSTITUTE(t," "&amp;jj,"")),TRIM(s))</f>
        <v/>
      </c>
      <c r="Q443">
        <f>IF([@[Type verlof]]="","",IFERROR(XLOOKUP([@Basis_type],tblInstellingen[Basis verloftype],tblInstellingen[Aanvullingsrechtig]),"ONBEKEND"))</f>
        <v/>
      </c>
      <c r="R443">
        <f>IF(OR([@Opbouwjaar]="",[@[Type verlof]]=""),0,IFERROR(INDEX(FILTER(tblAanvulling[Totaalbedrag],(tblAanvulling[Mdw.]=[@[Mdw.]])*(tblAanvulling[Bkjr.]=[@Opbouwjaar]),0),1),0))</f>
        <v/>
      </c>
      <c r="S443">
        <f>IF([@Aanvullingsrechtig]="Ja",[@Beginsaldo]*[@Aanvulling_pu],0)</f>
        <v/>
      </c>
      <c r="T443">
        <f>IF(AND([@Opbouwjaar]&lt;&gt;"",[@Beginsaldo]&lt;&gt;0,OR([@Aanvullingsrechtig]="Ja",[@Aanvullingsrechtig]="Nee")),1,0)</f>
        <v/>
      </c>
    </row>
    <row r="444">
      <c r="O444">
        <f>LET(t,[@[Type verlof]],s,SEQUENCE(MAX(1,LEN(t)-3)),k,IFERROR(--MID(t,s,4),0),g,FILTER(k,(k&gt;=2000)*(k&lt;=2100),""),IFERROR(INDEX(g,1),""))</f>
        <v/>
      </c>
      <c r="P444">
        <f>LET(t,[@[Type verlof]],jj,[@Opbouwjaar],s,IF(jj="",t,SUBSTITUTE(t," "&amp;jj,"")),TRIM(s))</f>
        <v/>
      </c>
      <c r="Q444">
        <f>IF([@[Type verlof]]="","",IFERROR(XLOOKUP([@Basis_type],tblInstellingen[Basis verloftype],tblInstellingen[Aanvullingsrechtig]),"ONBEKEND"))</f>
        <v/>
      </c>
      <c r="R444">
        <f>IF(OR([@Opbouwjaar]="",[@[Type verlof]]=""),0,IFERROR(INDEX(FILTER(tblAanvulling[Totaalbedrag],(tblAanvulling[Mdw.]=[@[Mdw.]])*(tblAanvulling[Bkjr.]=[@Opbouwjaar]),0),1),0))</f>
        <v/>
      </c>
      <c r="S444">
        <f>IF([@Aanvullingsrechtig]="Ja",[@Beginsaldo]*[@Aanvulling_pu],0)</f>
        <v/>
      </c>
      <c r="T444">
        <f>IF(AND([@Opbouwjaar]&lt;&gt;"",[@Beginsaldo]&lt;&gt;0,OR([@Aanvullingsrechtig]="Ja",[@Aanvullingsrechtig]="Nee")),1,0)</f>
        <v/>
      </c>
    </row>
    <row r="445">
      <c r="O445">
        <f>LET(t,[@[Type verlof]],s,SEQUENCE(MAX(1,LEN(t)-3)),k,IFERROR(--MID(t,s,4),0),g,FILTER(k,(k&gt;=2000)*(k&lt;=2100),""),IFERROR(INDEX(g,1),""))</f>
        <v/>
      </c>
      <c r="P445">
        <f>LET(t,[@[Type verlof]],jj,[@Opbouwjaar],s,IF(jj="",t,SUBSTITUTE(t," "&amp;jj,"")),TRIM(s))</f>
        <v/>
      </c>
      <c r="Q445">
        <f>IF([@[Type verlof]]="","",IFERROR(XLOOKUP([@Basis_type],tblInstellingen[Basis verloftype],tblInstellingen[Aanvullingsrechtig]),"ONBEKEND"))</f>
        <v/>
      </c>
      <c r="R445">
        <f>IF(OR([@Opbouwjaar]="",[@[Type verlof]]=""),0,IFERROR(INDEX(FILTER(tblAanvulling[Totaalbedrag],(tblAanvulling[Mdw.]=[@[Mdw.]])*(tblAanvulling[Bkjr.]=[@Opbouwjaar]),0),1),0))</f>
        <v/>
      </c>
      <c r="S445">
        <f>IF([@Aanvullingsrechtig]="Ja",[@Beginsaldo]*[@Aanvulling_pu],0)</f>
        <v/>
      </c>
      <c r="T445">
        <f>IF(AND([@Opbouwjaar]&lt;&gt;"",[@Beginsaldo]&lt;&gt;0,OR([@Aanvullingsrechtig]="Ja",[@Aanvullingsrechtig]="Nee")),1,0)</f>
        <v/>
      </c>
    </row>
    <row r="446">
      <c r="O446">
        <f>LET(t,[@[Type verlof]],s,SEQUENCE(MAX(1,LEN(t)-3)),k,IFERROR(--MID(t,s,4),0),g,FILTER(k,(k&gt;=2000)*(k&lt;=2100),""),IFERROR(INDEX(g,1),""))</f>
        <v/>
      </c>
      <c r="P446">
        <f>LET(t,[@[Type verlof]],jj,[@Opbouwjaar],s,IF(jj="",t,SUBSTITUTE(t," "&amp;jj,"")),TRIM(s))</f>
        <v/>
      </c>
      <c r="Q446">
        <f>IF([@[Type verlof]]="","",IFERROR(XLOOKUP([@Basis_type],tblInstellingen[Basis verloftype],tblInstellingen[Aanvullingsrechtig]),"ONBEKEND"))</f>
        <v/>
      </c>
      <c r="R446">
        <f>IF(OR([@Opbouwjaar]="",[@[Type verlof]]=""),0,IFERROR(INDEX(FILTER(tblAanvulling[Totaalbedrag],(tblAanvulling[Mdw.]=[@[Mdw.]])*(tblAanvulling[Bkjr.]=[@Opbouwjaar]),0),1),0))</f>
        <v/>
      </c>
      <c r="S446">
        <f>IF([@Aanvullingsrechtig]="Ja",[@Beginsaldo]*[@Aanvulling_pu],0)</f>
        <v/>
      </c>
      <c r="T446">
        <f>IF(AND([@Opbouwjaar]&lt;&gt;"",[@Beginsaldo]&lt;&gt;0,OR([@Aanvullingsrechtig]="Ja",[@Aanvullingsrechtig]="Nee")),1,0)</f>
        <v/>
      </c>
    </row>
    <row r="447">
      <c r="O447">
        <f>LET(t,[@[Type verlof]],s,SEQUENCE(MAX(1,LEN(t)-3)),k,IFERROR(--MID(t,s,4),0),g,FILTER(k,(k&gt;=2000)*(k&lt;=2100),""),IFERROR(INDEX(g,1),""))</f>
        <v/>
      </c>
      <c r="P447">
        <f>LET(t,[@[Type verlof]],jj,[@Opbouwjaar],s,IF(jj="",t,SUBSTITUTE(t," "&amp;jj,"")),TRIM(s))</f>
        <v/>
      </c>
      <c r="Q447">
        <f>IF([@[Type verlof]]="","",IFERROR(XLOOKUP([@Basis_type],tblInstellingen[Basis verloftype],tblInstellingen[Aanvullingsrechtig]),"ONBEKEND"))</f>
        <v/>
      </c>
      <c r="R447">
        <f>IF(OR([@Opbouwjaar]="",[@[Type verlof]]=""),0,IFERROR(INDEX(FILTER(tblAanvulling[Totaalbedrag],(tblAanvulling[Mdw.]=[@[Mdw.]])*(tblAanvulling[Bkjr.]=[@Opbouwjaar]),0),1),0))</f>
        <v/>
      </c>
      <c r="S447">
        <f>IF([@Aanvullingsrechtig]="Ja",[@Beginsaldo]*[@Aanvulling_pu],0)</f>
        <v/>
      </c>
      <c r="T447">
        <f>IF(AND([@Opbouwjaar]&lt;&gt;"",[@Beginsaldo]&lt;&gt;0,OR([@Aanvullingsrechtig]="Ja",[@Aanvullingsrechtig]="Nee")),1,0)</f>
        <v/>
      </c>
    </row>
    <row r="448">
      <c r="O448">
        <f>LET(t,[@[Type verlof]],s,SEQUENCE(MAX(1,LEN(t)-3)),k,IFERROR(--MID(t,s,4),0),g,FILTER(k,(k&gt;=2000)*(k&lt;=2100),""),IFERROR(INDEX(g,1),""))</f>
        <v/>
      </c>
      <c r="P448">
        <f>LET(t,[@[Type verlof]],jj,[@Opbouwjaar],s,IF(jj="",t,SUBSTITUTE(t," "&amp;jj,"")),TRIM(s))</f>
        <v/>
      </c>
      <c r="Q448">
        <f>IF([@[Type verlof]]="","",IFERROR(XLOOKUP([@Basis_type],tblInstellingen[Basis verloftype],tblInstellingen[Aanvullingsrechtig]),"ONBEKEND"))</f>
        <v/>
      </c>
      <c r="R448">
        <f>IF(OR([@Opbouwjaar]="",[@[Type verlof]]=""),0,IFERROR(INDEX(FILTER(tblAanvulling[Totaalbedrag],(tblAanvulling[Mdw.]=[@[Mdw.]])*(tblAanvulling[Bkjr.]=[@Opbouwjaar]),0),1),0))</f>
        <v/>
      </c>
      <c r="S448">
        <f>IF([@Aanvullingsrechtig]="Ja",[@Beginsaldo]*[@Aanvulling_pu],0)</f>
        <v/>
      </c>
      <c r="T448">
        <f>IF(AND([@Opbouwjaar]&lt;&gt;"",[@Beginsaldo]&lt;&gt;0,OR([@Aanvullingsrechtig]="Ja",[@Aanvullingsrechtig]="Nee")),1,0)</f>
        <v/>
      </c>
    </row>
    <row r="449">
      <c r="O449">
        <f>LET(t,[@[Type verlof]],s,SEQUENCE(MAX(1,LEN(t)-3)),k,IFERROR(--MID(t,s,4),0),g,FILTER(k,(k&gt;=2000)*(k&lt;=2100),""),IFERROR(INDEX(g,1),""))</f>
        <v/>
      </c>
      <c r="P449">
        <f>LET(t,[@[Type verlof]],jj,[@Opbouwjaar],s,IF(jj="",t,SUBSTITUTE(t," "&amp;jj,"")),TRIM(s))</f>
        <v/>
      </c>
      <c r="Q449">
        <f>IF([@[Type verlof]]="","",IFERROR(XLOOKUP([@Basis_type],tblInstellingen[Basis verloftype],tblInstellingen[Aanvullingsrechtig]),"ONBEKEND"))</f>
        <v/>
      </c>
      <c r="R449">
        <f>IF(OR([@Opbouwjaar]="",[@[Type verlof]]=""),0,IFERROR(INDEX(FILTER(tblAanvulling[Totaalbedrag],(tblAanvulling[Mdw.]=[@[Mdw.]])*(tblAanvulling[Bkjr.]=[@Opbouwjaar]),0),1),0))</f>
        <v/>
      </c>
      <c r="S449">
        <f>IF([@Aanvullingsrechtig]="Ja",[@Beginsaldo]*[@Aanvulling_pu],0)</f>
        <v/>
      </c>
      <c r="T449">
        <f>IF(AND([@Opbouwjaar]&lt;&gt;"",[@Beginsaldo]&lt;&gt;0,OR([@Aanvullingsrechtig]="Ja",[@Aanvullingsrechtig]="Nee")),1,0)</f>
        <v/>
      </c>
    </row>
    <row r="450">
      <c r="O450">
        <f>LET(t,[@[Type verlof]],s,SEQUENCE(MAX(1,LEN(t)-3)),k,IFERROR(--MID(t,s,4),0),g,FILTER(k,(k&gt;=2000)*(k&lt;=2100),""),IFERROR(INDEX(g,1),""))</f>
        <v/>
      </c>
      <c r="P450">
        <f>LET(t,[@[Type verlof]],jj,[@Opbouwjaar],s,IF(jj="",t,SUBSTITUTE(t," "&amp;jj,"")),TRIM(s))</f>
        <v/>
      </c>
      <c r="Q450">
        <f>IF([@[Type verlof]]="","",IFERROR(XLOOKUP([@Basis_type],tblInstellingen[Basis verloftype],tblInstellingen[Aanvullingsrechtig]),"ONBEKEND"))</f>
        <v/>
      </c>
      <c r="R450">
        <f>IF(OR([@Opbouwjaar]="",[@[Type verlof]]=""),0,IFERROR(INDEX(FILTER(tblAanvulling[Totaalbedrag],(tblAanvulling[Mdw.]=[@[Mdw.]])*(tblAanvulling[Bkjr.]=[@Opbouwjaar]),0),1),0))</f>
        <v/>
      </c>
      <c r="S450">
        <f>IF([@Aanvullingsrechtig]="Ja",[@Beginsaldo]*[@Aanvulling_pu],0)</f>
        <v/>
      </c>
      <c r="T450">
        <f>IF(AND([@Opbouwjaar]&lt;&gt;"",[@Beginsaldo]&lt;&gt;0,OR([@Aanvullingsrechtig]="Ja",[@Aanvullingsrechtig]="Nee")),1,0)</f>
        <v/>
      </c>
    </row>
    <row r="451">
      <c r="O451">
        <f>LET(t,[@[Type verlof]],s,SEQUENCE(MAX(1,LEN(t)-3)),k,IFERROR(--MID(t,s,4),0),g,FILTER(k,(k&gt;=2000)*(k&lt;=2100),""),IFERROR(INDEX(g,1),""))</f>
        <v/>
      </c>
      <c r="P451">
        <f>LET(t,[@[Type verlof]],jj,[@Opbouwjaar],s,IF(jj="",t,SUBSTITUTE(t," "&amp;jj,"")),TRIM(s))</f>
        <v/>
      </c>
      <c r="Q451">
        <f>IF([@[Type verlof]]="","",IFERROR(XLOOKUP([@Basis_type],tblInstellingen[Basis verloftype],tblInstellingen[Aanvullingsrechtig]),"ONBEKEND"))</f>
        <v/>
      </c>
      <c r="R451">
        <f>IF(OR([@Opbouwjaar]="",[@[Type verlof]]=""),0,IFERROR(INDEX(FILTER(tblAanvulling[Totaalbedrag],(tblAanvulling[Mdw.]=[@[Mdw.]])*(tblAanvulling[Bkjr.]=[@Opbouwjaar]),0),1),0))</f>
        <v/>
      </c>
      <c r="S451">
        <f>IF([@Aanvullingsrechtig]="Ja",[@Beginsaldo]*[@Aanvulling_pu],0)</f>
        <v/>
      </c>
      <c r="T451">
        <f>IF(AND([@Opbouwjaar]&lt;&gt;"",[@Beginsaldo]&lt;&gt;0,OR([@Aanvullingsrechtig]="Ja",[@Aanvullingsrechtig]="Nee")),1,0)</f>
        <v/>
      </c>
    </row>
    <row r="452">
      <c r="O452">
        <f>LET(t,[@[Type verlof]],s,SEQUENCE(MAX(1,LEN(t)-3)),k,IFERROR(--MID(t,s,4),0),g,FILTER(k,(k&gt;=2000)*(k&lt;=2100),""),IFERROR(INDEX(g,1),""))</f>
        <v/>
      </c>
      <c r="P452">
        <f>LET(t,[@[Type verlof]],jj,[@Opbouwjaar],s,IF(jj="",t,SUBSTITUTE(t," "&amp;jj,"")),TRIM(s))</f>
        <v/>
      </c>
      <c r="Q452">
        <f>IF([@[Type verlof]]="","",IFERROR(XLOOKUP([@Basis_type],tblInstellingen[Basis verloftype],tblInstellingen[Aanvullingsrechtig]),"ONBEKEND"))</f>
        <v/>
      </c>
      <c r="R452">
        <f>IF(OR([@Opbouwjaar]="",[@[Type verlof]]=""),0,IFERROR(INDEX(FILTER(tblAanvulling[Totaalbedrag],(tblAanvulling[Mdw.]=[@[Mdw.]])*(tblAanvulling[Bkjr.]=[@Opbouwjaar]),0),1),0))</f>
        <v/>
      </c>
      <c r="S452">
        <f>IF([@Aanvullingsrechtig]="Ja",[@Beginsaldo]*[@Aanvulling_pu],0)</f>
        <v/>
      </c>
      <c r="T452">
        <f>IF(AND([@Opbouwjaar]&lt;&gt;"",[@Beginsaldo]&lt;&gt;0,OR([@Aanvullingsrechtig]="Ja",[@Aanvullingsrechtig]="Nee")),1,0)</f>
        <v/>
      </c>
    </row>
    <row r="453">
      <c r="O453">
        <f>LET(t,[@[Type verlof]],s,SEQUENCE(MAX(1,LEN(t)-3)),k,IFERROR(--MID(t,s,4),0),g,FILTER(k,(k&gt;=2000)*(k&lt;=2100),""),IFERROR(INDEX(g,1),""))</f>
        <v/>
      </c>
      <c r="P453">
        <f>LET(t,[@[Type verlof]],jj,[@Opbouwjaar],s,IF(jj="",t,SUBSTITUTE(t," "&amp;jj,"")),TRIM(s))</f>
        <v/>
      </c>
      <c r="Q453">
        <f>IF([@[Type verlof]]="","",IFERROR(XLOOKUP([@Basis_type],tblInstellingen[Basis verloftype],tblInstellingen[Aanvullingsrechtig]),"ONBEKEND"))</f>
        <v/>
      </c>
      <c r="R453">
        <f>IF(OR([@Opbouwjaar]="",[@[Type verlof]]=""),0,IFERROR(INDEX(FILTER(tblAanvulling[Totaalbedrag],(tblAanvulling[Mdw.]=[@[Mdw.]])*(tblAanvulling[Bkjr.]=[@Opbouwjaar]),0),1),0))</f>
        <v/>
      </c>
      <c r="S453">
        <f>IF([@Aanvullingsrechtig]="Ja",[@Beginsaldo]*[@Aanvulling_pu],0)</f>
        <v/>
      </c>
      <c r="T453">
        <f>IF(AND([@Opbouwjaar]&lt;&gt;"",[@Beginsaldo]&lt;&gt;0,OR([@Aanvullingsrechtig]="Ja",[@Aanvullingsrechtig]="Nee")),1,0)</f>
        <v/>
      </c>
    </row>
    <row r="454">
      <c r="O454">
        <f>LET(t,[@[Type verlof]],s,SEQUENCE(MAX(1,LEN(t)-3)),k,IFERROR(--MID(t,s,4),0),g,FILTER(k,(k&gt;=2000)*(k&lt;=2100),""),IFERROR(INDEX(g,1),""))</f>
        <v/>
      </c>
      <c r="P454">
        <f>LET(t,[@[Type verlof]],jj,[@Opbouwjaar],s,IF(jj="",t,SUBSTITUTE(t," "&amp;jj,"")),TRIM(s))</f>
        <v/>
      </c>
      <c r="Q454">
        <f>IF([@[Type verlof]]="","",IFERROR(XLOOKUP([@Basis_type],tblInstellingen[Basis verloftype],tblInstellingen[Aanvullingsrechtig]),"ONBEKEND"))</f>
        <v/>
      </c>
      <c r="R454">
        <f>IF(OR([@Opbouwjaar]="",[@[Type verlof]]=""),0,IFERROR(INDEX(FILTER(tblAanvulling[Totaalbedrag],(tblAanvulling[Mdw.]=[@[Mdw.]])*(tblAanvulling[Bkjr.]=[@Opbouwjaar]),0),1),0))</f>
        <v/>
      </c>
      <c r="S454">
        <f>IF([@Aanvullingsrechtig]="Ja",[@Beginsaldo]*[@Aanvulling_pu],0)</f>
        <v/>
      </c>
      <c r="T454">
        <f>IF(AND([@Opbouwjaar]&lt;&gt;"",[@Beginsaldo]&lt;&gt;0,OR([@Aanvullingsrechtig]="Ja",[@Aanvullingsrechtig]="Nee")),1,0)</f>
        <v/>
      </c>
    </row>
    <row r="455">
      <c r="O455">
        <f>LET(t,[@[Type verlof]],s,SEQUENCE(MAX(1,LEN(t)-3)),k,IFERROR(--MID(t,s,4),0),g,FILTER(k,(k&gt;=2000)*(k&lt;=2100),""),IFERROR(INDEX(g,1),""))</f>
        <v/>
      </c>
      <c r="P455">
        <f>LET(t,[@[Type verlof]],jj,[@Opbouwjaar],s,IF(jj="",t,SUBSTITUTE(t," "&amp;jj,"")),TRIM(s))</f>
        <v/>
      </c>
      <c r="Q455">
        <f>IF([@[Type verlof]]="","",IFERROR(XLOOKUP([@Basis_type],tblInstellingen[Basis verloftype],tblInstellingen[Aanvullingsrechtig]),"ONBEKEND"))</f>
        <v/>
      </c>
      <c r="R455">
        <f>IF(OR([@Opbouwjaar]="",[@[Type verlof]]=""),0,IFERROR(INDEX(FILTER(tblAanvulling[Totaalbedrag],(tblAanvulling[Mdw.]=[@[Mdw.]])*(tblAanvulling[Bkjr.]=[@Opbouwjaar]),0),1),0))</f>
        <v/>
      </c>
      <c r="S455">
        <f>IF([@Aanvullingsrechtig]="Ja",[@Beginsaldo]*[@Aanvulling_pu],0)</f>
        <v/>
      </c>
      <c r="T455">
        <f>IF(AND([@Opbouwjaar]&lt;&gt;"",[@Beginsaldo]&lt;&gt;0,OR([@Aanvullingsrechtig]="Ja",[@Aanvullingsrechtig]="Nee")),1,0)</f>
        <v/>
      </c>
    </row>
    <row r="456">
      <c r="O456">
        <f>LET(t,[@[Type verlof]],s,SEQUENCE(MAX(1,LEN(t)-3)),k,IFERROR(--MID(t,s,4),0),g,FILTER(k,(k&gt;=2000)*(k&lt;=2100),""),IFERROR(INDEX(g,1),""))</f>
        <v/>
      </c>
      <c r="P456">
        <f>LET(t,[@[Type verlof]],jj,[@Opbouwjaar],s,IF(jj="",t,SUBSTITUTE(t," "&amp;jj,"")),TRIM(s))</f>
        <v/>
      </c>
      <c r="Q456">
        <f>IF([@[Type verlof]]="","",IFERROR(XLOOKUP([@Basis_type],tblInstellingen[Basis verloftype],tblInstellingen[Aanvullingsrechtig]),"ONBEKEND"))</f>
        <v/>
      </c>
      <c r="R456">
        <f>IF(OR([@Opbouwjaar]="",[@[Type verlof]]=""),0,IFERROR(INDEX(FILTER(tblAanvulling[Totaalbedrag],(tblAanvulling[Mdw.]=[@[Mdw.]])*(tblAanvulling[Bkjr.]=[@Opbouwjaar]),0),1),0))</f>
        <v/>
      </c>
      <c r="S456">
        <f>IF([@Aanvullingsrechtig]="Ja",[@Beginsaldo]*[@Aanvulling_pu],0)</f>
        <v/>
      </c>
      <c r="T456">
        <f>IF(AND([@Opbouwjaar]&lt;&gt;"",[@Beginsaldo]&lt;&gt;0,OR([@Aanvullingsrechtig]="Ja",[@Aanvullingsrechtig]="Nee")),1,0)</f>
        <v/>
      </c>
    </row>
    <row r="457">
      <c r="O457">
        <f>LET(t,[@[Type verlof]],s,SEQUENCE(MAX(1,LEN(t)-3)),k,IFERROR(--MID(t,s,4),0),g,FILTER(k,(k&gt;=2000)*(k&lt;=2100),""),IFERROR(INDEX(g,1),""))</f>
        <v/>
      </c>
      <c r="P457">
        <f>LET(t,[@[Type verlof]],jj,[@Opbouwjaar],s,IF(jj="",t,SUBSTITUTE(t," "&amp;jj,"")),TRIM(s))</f>
        <v/>
      </c>
      <c r="Q457">
        <f>IF([@[Type verlof]]="","",IFERROR(XLOOKUP([@Basis_type],tblInstellingen[Basis verloftype],tblInstellingen[Aanvullingsrechtig]),"ONBEKEND"))</f>
        <v/>
      </c>
      <c r="R457">
        <f>IF(OR([@Opbouwjaar]="",[@[Type verlof]]=""),0,IFERROR(INDEX(FILTER(tblAanvulling[Totaalbedrag],(tblAanvulling[Mdw.]=[@[Mdw.]])*(tblAanvulling[Bkjr.]=[@Opbouwjaar]),0),1),0))</f>
        <v/>
      </c>
      <c r="S457">
        <f>IF([@Aanvullingsrechtig]="Ja",[@Beginsaldo]*[@Aanvulling_pu],0)</f>
        <v/>
      </c>
      <c r="T457">
        <f>IF(AND([@Opbouwjaar]&lt;&gt;"",[@Beginsaldo]&lt;&gt;0,OR([@Aanvullingsrechtig]="Ja",[@Aanvullingsrechtig]="Nee")),1,0)</f>
        <v/>
      </c>
    </row>
    <row r="458">
      <c r="O458">
        <f>LET(t,[@[Type verlof]],s,SEQUENCE(MAX(1,LEN(t)-3)),k,IFERROR(--MID(t,s,4),0),g,FILTER(k,(k&gt;=2000)*(k&lt;=2100),""),IFERROR(INDEX(g,1),""))</f>
        <v/>
      </c>
      <c r="P458">
        <f>LET(t,[@[Type verlof]],jj,[@Opbouwjaar],s,IF(jj="",t,SUBSTITUTE(t," "&amp;jj,"")),TRIM(s))</f>
        <v/>
      </c>
      <c r="Q458">
        <f>IF([@[Type verlof]]="","",IFERROR(XLOOKUP([@Basis_type],tblInstellingen[Basis verloftype],tblInstellingen[Aanvullingsrechtig]),"ONBEKEND"))</f>
        <v/>
      </c>
      <c r="R458">
        <f>IF(OR([@Opbouwjaar]="",[@[Type verlof]]=""),0,IFERROR(INDEX(FILTER(tblAanvulling[Totaalbedrag],(tblAanvulling[Mdw.]=[@[Mdw.]])*(tblAanvulling[Bkjr.]=[@Opbouwjaar]),0),1),0))</f>
        <v/>
      </c>
      <c r="S458">
        <f>IF([@Aanvullingsrechtig]="Ja",[@Beginsaldo]*[@Aanvulling_pu],0)</f>
        <v/>
      </c>
      <c r="T458">
        <f>IF(AND([@Opbouwjaar]&lt;&gt;"",[@Beginsaldo]&lt;&gt;0,OR([@Aanvullingsrechtig]="Ja",[@Aanvullingsrechtig]="Nee")),1,0)</f>
        <v/>
      </c>
    </row>
    <row r="459">
      <c r="O459">
        <f>LET(t,[@[Type verlof]],s,SEQUENCE(MAX(1,LEN(t)-3)),k,IFERROR(--MID(t,s,4),0),g,FILTER(k,(k&gt;=2000)*(k&lt;=2100),""),IFERROR(INDEX(g,1),""))</f>
        <v/>
      </c>
      <c r="P459">
        <f>LET(t,[@[Type verlof]],jj,[@Opbouwjaar],s,IF(jj="",t,SUBSTITUTE(t," "&amp;jj,"")),TRIM(s))</f>
        <v/>
      </c>
      <c r="Q459">
        <f>IF([@[Type verlof]]="","",IFERROR(XLOOKUP([@Basis_type],tblInstellingen[Basis verloftype],tblInstellingen[Aanvullingsrechtig]),"ONBEKEND"))</f>
        <v/>
      </c>
      <c r="R459">
        <f>IF(OR([@Opbouwjaar]="",[@[Type verlof]]=""),0,IFERROR(INDEX(FILTER(tblAanvulling[Totaalbedrag],(tblAanvulling[Mdw.]=[@[Mdw.]])*(tblAanvulling[Bkjr.]=[@Opbouwjaar]),0),1),0))</f>
        <v/>
      </c>
      <c r="S459">
        <f>IF([@Aanvullingsrechtig]="Ja",[@Beginsaldo]*[@Aanvulling_pu],0)</f>
        <v/>
      </c>
      <c r="T459">
        <f>IF(AND([@Opbouwjaar]&lt;&gt;"",[@Beginsaldo]&lt;&gt;0,OR([@Aanvullingsrechtig]="Ja",[@Aanvullingsrechtig]="Nee")),1,0)</f>
        <v/>
      </c>
    </row>
    <row r="460">
      <c r="O460">
        <f>LET(t,[@[Type verlof]],s,SEQUENCE(MAX(1,LEN(t)-3)),k,IFERROR(--MID(t,s,4),0),g,FILTER(k,(k&gt;=2000)*(k&lt;=2100),""),IFERROR(INDEX(g,1),""))</f>
        <v/>
      </c>
      <c r="P460">
        <f>LET(t,[@[Type verlof]],jj,[@Opbouwjaar],s,IF(jj="",t,SUBSTITUTE(t," "&amp;jj,"")),TRIM(s))</f>
        <v/>
      </c>
      <c r="Q460">
        <f>IF([@[Type verlof]]="","",IFERROR(XLOOKUP([@Basis_type],tblInstellingen[Basis verloftype],tblInstellingen[Aanvullingsrechtig]),"ONBEKEND"))</f>
        <v/>
      </c>
      <c r="R460">
        <f>IF(OR([@Opbouwjaar]="",[@[Type verlof]]=""),0,IFERROR(INDEX(FILTER(tblAanvulling[Totaalbedrag],(tblAanvulling[Mdw.]=[@[Mdw.]])*(tblAanvulling[Bkjr.]=[@Opbouwjaar]),0),1),0))</f>
        <v/>
      </c>
      <c r="S460">
        <f>IF([@Aanvullingsrechtig]="Ja",[@Beginsaldo]*[@Aanvulling_pu],0)</f>
        <v/>
      </c>
      <c r="T460">
        <f>IF(AND([@Opbouwjaar]&lt;&gt;"",[@Beginsaldo]&lt;&gt;0,OR([@Aanvullingsrechtig]="Ja",[@Aanvullingsrechtig]="Nee")),1,0)</f>
        <v/>
      </c>
    </row>
    <row r="461">
      <c r="O461">
        <f>LET(t,[@[Type verlof]],s,SEQUENCE(MAX(1,LEN(t)-3)),k,IFERROR(--MID(t,s,4),0),g,FILTER(k,(k&gt;=2000)*(k&lt;=2100),""),IFERROR(INDEX(g,1),""))</f>
        <v/>
      </c>
      <c r="P461">
        <f>LET(t,[@[Type verlof]],jj,[@Opbouwjaar],s,IF(jj="",t,SUBSTITUTE(t," "&amp;jj,"")),TRIM(s))</f>
        <v/>
      </c>
      <c r="Q461">
        <f>IF([@[Type verlof]]="","",IFERROR(XLOOKUP([@Basis_type],tblInstellingen[Basis verloftype],tblInstellingen[Aanvullingsrechtig]),"ONBEKEND"))</f>
        <v/>
      </c>
      <c r="R461">
        <f>IF(OR([@Opbouwjaar]="",[@[Type verlof]]=""),0,IFERROR(INDEX(FILTER(tblAanvulling[Totaalbedrag],(tblAanvulling[Mdw.]=[@[Mdw.]])*(tblAanvulling[Bkjr.]=[@Opbouwjaar]),0),1),0))</f>
        <v/>
      </c>
      <c r="S461">
        <f>IF([@Aanvullingsrechtig]="Ja",[@Beginsaldo]*[@Aanvulling_pu],0)</f>
        <v/>
      </c>
      <c r="T461">
        <f>IF(AND([@Opbouwjaar]&lt;&gt;"",[@Beginsaldo]&lt;&gt;0,OR([@Aanvullingsrechtig]="Ja",[@Aanvullingsrechtig]="Nee")),1,0)</f>
        <v/>
      </c>
    </row>
    <row r="462">
      <c r="O462">
        <f>LET(t,[@[Type verlof]],s,SEQUENCE(MAX(1,LEN(t)-3)),k,IFERROR(--MID(t,s,4),0),g,FILTER(k,(k&gt;=2000)*(k&lt;=2100),""),IFERROR(INDEX(g,1),""))</f>
        <v/>
      </c>
      <c r="P462">
        <f>LET(t,[@[Type verlof]],jj,[@Opbouwjaar],s,IF(jj="",t,SUBSTITUTE(t," "&amp;jj,"")),TRIM(s))</f>
        <v/>
      </c>
      <c r="Q462">
        <f>IF([@[Type verlof]]="","",IFERROR(XLOOKUP([@Basis_type],tblInstellingen[Basis verloftype],tblInstellingen[Aanvullingsrechtig]),"ONBEKEND"))</f>
        <v/>
      </c>
      <c r="R462">
        <f>IF(OR([@Opbouwjaar]="",[@[Type verlof]]=""),0,IFERROR(INDEX(FILTER(tblAanvulling[Totaalbedrag],(tblAanvulling[Mdw.]=[@[Mdw.]])*(tblAanvulling[Bkjr.]=[@Opbouwjaar]),0),1),0))</f>
        <v/>
      </c>
      <c r="S462">
        <f>IF([@Aanvullingsrechtig]="Ja",[@Beginsaldo]*[@Aanvulling_pu],0)</f>
        <v/>
      </c>
      <c r="T462">
        <f>IF(AND([@Opbouwjaar]&lt;&gt;"",[@Beginsaldo]&lt;&gt;0,OR([@Aanvullingsrechtig]="Ja",[@Aanvullingsrechtig]="Nee")),1,0)</f>
        <v/>
      </c>
    </row>
    <row r="463">
      <c r="O463">
        <f>LET(t,[@[Type verlof]],s,SEQUENCE(MAX(1,LEN(t)-3)),k,IFERROR(--MID(t,s,4),0),g,FILTER(k,(k&gt;=2000)*(k&lt;=2100),""),IFERROR(INDEX(g,1),""))</f>
        <v/>
      </c>
      <c r="P463">
        <f>LET(t,[@[Type verlof]],jj,[@Opbouwjaar],s,IF(jj="",t,SUBSTITUTE(t," "&amp;jj,"")),TRIM(s))</f>
        <v/>
      </c>
      <c r="Q463">
        <f>IF([@[Type verlof]]="","",IFERROR(XLOOKUP([@Basis_type],tblInstellingen[Basis verloftype],tblInstellingen[Aanvullingsrechtig]),"ONBEKEND"))</f>
        <v/>
      </c>
      <c r="R463">
        <f>IF(OR([@Opbouwjaar]="",[@[Type verlof]]=""),0,IFERROR(INDEX(FILTER(tblAanvulling[Totaalbedrag],(tblAanvulling[Mdw.]=[@[Mdw.]])*(tblAanvulling[Bkjr.]=[@Opbouwjaar]),0),1),0))</f>
        <v/>
      </c>
      <c r="S463">
        <f>IF([@Aanvullingsrechtig]="Ja",[@Beginsaldo]*[@Aanvulling_pu],0)</f>
        <v/>
      </c>
      <c r="T463">
        <f>IF(AND([@Opbouwjaar]&lt;&gt;"",[@Beginsaldo]&lt;&gt;0,OR([@Aanvullingsrechtig]="Ja",[@Aanvullingsrechtig]="Nee")),1,0)</f>
        <v/>
      </c>
    </row>
    <row r="464">
      <c r="O464">
        <f>LET(t,[@[Type verlof]],s,SEQUENCE(MAX(1,LEN(t)-3)),k,IFERROR(--MID(t,s,4),0),g,FILTER(k,(k&gt;=2000)*(k&lt;=2100),""),IFERROR(INDEX(g,1),""))</f>
        <v/>
      </c>
      <c r="P464">
        <f>LET(t,[@[Type verlof]],jj,[@Opbouwjaar],s,IF(jj="",t,SUBSTITUTE(t," "&amp;jj,"")),TRIM(s))</f>
        <v/>
      </c>
      <c r="Q464">
        <f>IF([@[Type verlof]]="","",IFERROR(XLOOKUP([@Basis_type],tblInstellingen[Basis verloftype],tblInstellingen[Aanvullingsrechtig]),"ONBEKEND"))</f>
        <v/>
      </c>
      <c r="R464">
        <f>IF(OR([@Opbouwjaar]="",[@[Type verlof]]=""),0,IFERROR(INDEX(FILTER(tblAanvulling[Totaalbedrag],(tblAanvulling[Mdw.]=[@[Mdw.]])*(tblAanvulling[Bkjr.]=[@Opbouwjaar]),0),1),0))</f>
        <v/>
      </c>
      <c r="S464">
        <f>IF([@Aanvullingsrechtig]="Ja",[@Beginsaldo]*[@Aanvulling_pu],0)</f>
        <v/>
      </c>
      <c r="T464">
        <f>IF(AND([@Opbouwjaar]&lt;&gt;"",[@Beginsaldo]&lt;&gt;0,OR([@Aanvullingsrechtig]="Ja",[@Aanvullingsrechtig]="Nee")),1,0)</f>
        <v/>
      </c>
    </row>
    <row r="465">
      <c r="O465">
        <f>LET(t,[@[Type verlof]],s,SEQUENCE(MAX(1,LEN(t)-3)),k,IFERROR(--MID(t,s,4),0),g,FILTER(k,(k&gt;=2000)*(k&lt;=2100),""),IFERROR(INDEX(g,1),""))</f>
        <v/>
      </c>
      <c r="P465">
        <f>LET(t,[@[Type verlof]],jj,[@Opbouwjaar],s,IF(jj="",t,SUBSTITUTE(t," "&amp;jj,"")),TRIM(s))</f>
        <v/>
      </c>
      <c r="Q465">
        <f>IF([@[Type verlof]]="","",IFERROR(XLOOKUP([@Basis_type],tblInstellingen[Basis verloftype],tblInstellingen[Aanvullingsrechtig]),"ONBEKEND"))</f>
        <v/>
      </c>
      <c r="R465">
        <f>IF(OR([@Opbouwjaar]="",[@[Type verlof]]=""),0,IFERROR(INDEX(FILTER(tblAanvulling[Totaalbedrag],(tblAanvulling[Mdw.]=[@[Mdw.]])*(tblAanvulling[Bkjr.]=[@Opbouwjaar]),0),1),0))</f>
        <v/>
      </c>
      <c r="S465">
        <f>IF([@Aanvullingsrechtig]="Ja",[@Beginsaldo]*[@Aanvulling_pu],0)</f>
        <v/>
      </c>
      <c r="T465">
        <f>IF(AND([@Opbouwjaar]&lt;&gt;"",[@Beginsaldo]&lt;&gt;0,OR([@Aanvullingsrechtig]="Ja",[@Aanvullingsrechtig]="Nee")),1,0)</f>
        <v/>
      </c>
    </row>
    <row r="466">
      <c r="O466">
        <f>LET(t,[@[Type verlof]],s,SEQUENCE(MAX(1,LEN(t)-3)),k,IFERROR(--MID(t,s,4),0),g,FILTER(k,(k&gt;=2000)*(k&lt;=2100),""),IFERROR(INDEX(g,1),""))</f>
        <v/>
      </c>
      <c r="P466">
        <f>LET(t,[@[Type verlof]],jj,[@Opbouwjaar],s,IF(jj="",t,SUBSTITUTE(t," "&amp;jj,"")),TRIM(s))</f>
        <v/>
      </c>
      <c r="Q466">
        <f>IF([@[Type verlof]]="","",IFERROR(XLOOKUP([@Basis_type],tblInstellingen[Basis verloftype],tblInstellingen[Aanvullingsrechtig]),"ONBEKEND"))</f>
        <v/>
      </c>
      <c r="R466">
        <f>IF(OR([@Opbouwjaar]="",[@[Type verlof]]=""),0,IFERROR(INDEX(FILTER(tblAanvulling[Totaalbedrag],(tblAanvulling[Mdw.]=[@[Mdw.]])*(tblAanvulling[Bkjr.]=[@Opbouwjaar]),0),1),0))</f>
        <v/>
      </c>
      <c r="S466">
        <f>IF([@Aanvullingsrechtig]="Ja",[@Beginsaldo]*[@Aanvulling_pu],0)</f>
        <v/>
      </c>
      <c r="T466">
        <f>IF(AND([@Opbouwjaar]&lt;&gt;"",[@Beginsaldo]&lt;&gt;0,OR([@Aanvullingsrechtig]="Ja",[@Aanvullingsrechtig]="Nee")),1,0)</f>
        <v/>
      </c>
    </row>
    <row r="467">
      <c r="O467">
        <f>LET(t,[@[Type verlof]],s,SEQUENCE(MAX(1,LEN(t)-3)),k,IFERROR(--MID(t,s,4),0),g,FILTER(k,(k&gt;=2000)*(k&lt;=2100),""),IFERROR(INDEX(g,1),""))</f>
        <v/>
      </c>
      <c r="P467">
        <f>LET(t,[@[Type verlof]],jj,[@Opbouwjaar],s,IF(jj="",t,SUBSTITUTE(t," "&amp;jj,"")),TRIM(s))</f>
        <v/>
      </c>
      <c r="Q467">
        <f>IF([@[Type verlof]]="","",IFERROR(XLOOKUP([@Basis_type],tblInstellingen[Basis verloftype],tblInstellingen[Aanvullingsrechtig]),"ONBEKEND"))</f>
        <v/>
      </c>
      <c r="R467">
        <f>IF(OR([@Opbouwjaar]="",[@[Type verlof]]=""),0,IFERROR(INDEX(FILTER(tblAanvulling[Totaalbedrag],(tblAanvulling[Mdw.]=[@[Mdw.]])*(tblAanvulling[Bkjr.]=[@Opbouwjaar]),0),1),0))</f>
        <v/>
      </c>
      <c r="S467">
        <f>IF([@Aanvullingsrechtig]="Ja",[@Beginsaldo]*[@Aanvulling_pu],0)</f>
        <v/>
      </c>
      <c r="T467">
        <f>IF(AND([@Opbouwjaar]&lt;&gt;"",[@Beginsaldo]&lt;&gt;0,OR([@Aanvullingsrechtig]="Ja",[@Aanvullingsrechtig]="Nee")),1,0)</f>
        <v/>
      </c>
    </row>
    <row r="468">
      <c r="O468">
        <f>LET(t,[@[Type verlof]],s,SEQUENCE(MAX(1,LEN(t)-3)),k,IFERROR(--MID(t,s,4),0),g,FILTER(k,(k&gt;=2000)*(k&lt;=2100),""),IFERROR(INDEX(g,1),""))</f>
        <v/>
      </c>
      <c r="P468">
        <f>LET(t,[@[Type verlof]],jj,[@Opbouwjaar],s,IF(jj="",t,SUBSTITUTE(t," "&amp;jj,"")),TRIM(s))</f>
        <v/>
      </c>
      <c r="Q468">
        <f>IF([@[Type verlof]]="","",IFERROR(XLOOKUP([@Basis_type],tblInstellingen[Basis verloftype],tblInstellingen[Aanvullingsrechtig]),"ONBEKEND"))</f>
        <v/>
      </c>
      <c r="R468">
        <f>IF(OR([@Opbouwjaar]="",[@[Type verlof]]=""),0,IFERROR(INDEX(FILTER(tblAanvulling[Totaalbedrag],(tblAanvulling[Mdw.]=[@[Mdw.]])*(tblAanvulling[Bkjr.]=[@Opbouwjaar]),0),1),0))</f>
        <v/>
      </c>
      <c r="S468">
        <f>IF([@Aanvullingsrechtig]="Ja",[@Beginsaldo]*[@Aanvulling_pu],0)</f>
        <v/>
      </c>
      <c r="T468">
        <f>IF(AND([@Opbouwjaar]&lt;&gt;"",[@Beginsaldo]&lt;&gt;0,OR([@Aanvullingsrechtig]="Ja",[@Aanvullingsrechtig]="Nee")),1,0)</f>
        <v/>
      </c>
    </row>
    <row r="469">
      <c r="O469">
        <f>LET(t,[@[Type verlof]],s,SEQUENCE(MAX(1,LEN(t)-3)),k,IFERROR(--MID(t,s,4),0),g,FILTER(k,(k&gt;=2000)*(k&lt;=2100),""),IFERROR(INDEX(g,1),""))</f>
        <v/>
      </c>
      <c r="P469">
        <f>LET(t,[@[Type verlof]],jj,[@Opbouwjaar],s,IF(jj="",t,SUBSTITUTE(t," "&amp;jj,"")),TRIM(s))</f>
        <v/>
      </c>
      <c r="Q469">
        <f>IF([@[Type verlof]]="","",IFERROR(XLOOKUP([@Basis_type],tblInstellingen[Basis verloftype],tblInstellingen[Aanvullingsrechtig]),"ONBEKEND"))</f>
        <v/>
      </c>
      <c r="R469">
        <f>IF(OR([@Opbouwjaar]="",[@[Type verlof]]=""),0,IFERROR(INDEX(FILTER(tblAanvulling[Totaalbedrag],(tblAanvulling[Mdw.]=[@[Mdw.]])*(tblAanvulling[Bkjr.]=[@Opbouwjaar]),0),1),0))</f>
        <v/>
      </c>
      <c r="S469">
        <f>IF([@Aanvullingsrechtig]="Ja",[@Beginsaldo]*[@Aanvulling_pu],0)</f>
        <v/>
      </c>
      <c r="T469">
        <f>IF(AND([@Opbouwjaar]&lt;&gt;"",[@Beginsaldo]&lt;&gt;0,OR([@Aanvullingsrechtig]="Ja",[@Aanvullingsrechtig]="Nee")),1,0)</f>
        <v/>
      </c>
    </row>
    <row r="470">
      <c r="O470">
        <f>LET(t,[@[Type verlof]],s,SEQUENCE(MAX(1,LEN(t)-3)),k,IFERROR(--MID(t,s,4),0),g,FILTER(k,(k&gt;=2000)*(k&lt;=2100),""),IFERROR(INDEX(g,1),""))</f>
        <v/>
      </c>
      <c r="P470">
        <f>LET(t,[@[Type verlof]],jj,[@Opbouwjaar],s,IF(jj="",t,SUBSTITUTE(t," "&amp;jj,"")),TRIM(s))</f>
        <v/>
      </c>
      <c r="Q470">
        <f>IF([@[Type verlof]]="","",IFERROR(XLOOKUP([@Basis_type],tblInstellingen[Basis verloftype],tblInstellingen[Aanvullingsrechtig]),"ONBEKEND"))</f>
        <v/>
      </c>
      <c r="R470">
        <f>IF(OR([@Opbouwjaar]="",[@[Type verlof]]=""),0,IFERROR(INDEX(FILTER(tblAanvulling[Totaalbedrag],(tblAanvulling[Mdw.]=[@[Mdw.]])*(tblAanvulling[Bkjr.]=[@Opbouwjaar]),0),1),0))</f>
        <v/>
      </c>
      <c r="S470">
        <f>IF([@Aanvullingsrechtig]="Ja",[@Beginsaldo]*[@Aanvulling_pu],0)</f>
        <v/>
      </c>
      <c r="T470">
        <f>IF(AND([@Opbouwjaar]&lt;&gt;"",[@Beginsaldo]&lt;&gt;0,OR([@Aanvullingsrechtig]="Ja",[@Aanvullingsrechtig]="Nee")),1,0)</f>
        <v/>
      </c>
    </row>
    <row r="471">
      <c r="O471">
        <f>LET(t,[@[Type verlof]],s,SEQUENCE(MAX(1,LEN(t)-3)),k,IFERROR(--MID(t,s,4),0),g,FILTER(k,(k&gt;=2000)*(k&lt;=2100),""),IFERROR(INDEX(g,1),""))</f>
        <v/>
      </c>
      <c r="P471">
        <f>LET(t,[@[Type verlof]],jj,[@Opbouwjaar],s,IF(jj="",t,SUBSTITUTE(t," "&amp;jj,"")),TRIM(s))</f>
        <v/>
      </c>
      <c r="Q471">
        <f>IF([@[Type verlof]]="","",IFERROR(XLOOKUP([@Basis_type],tblInstellingen[Basis verloftype],tblInstellingen[Aanvullingsrechtig]),"ONBEKEND"))</f>
        <v/>
      </c>
      <c r="R471">
        <f>IF(OR([@Opbouwjaar]="",[@[Type verlof]]=""),0,IFERROR(INDEX(FILTER(tblAanvulling[Totaalbedrag],(tblAanvulling[Mdw.]=[@[Mdw.]])*(tblAanvulling[Bkjr.]=[@Opbouwjaar]),0),1),0))</f>
        <v/>
      </c>
      <c r="S471">
        <f>IF([@Aanvullingsrechtig]="Ja",[@Beginsaldo]*[@Aanvulling_pu],0)</f>
        <v/>
      </c>
      <c r="T471">
        <f>IF(AND([@Opbouwjaar]&lt;&gt;"",[@Beginsaldo]&lt;&gt;0,OR([@Aanvullingsrechtig]="Ja",[@Aanvullingsrechtig]="Nee")),1,0)</f>
        <v/>
      </c>
    </row>
    <row r="472">
      <c r="O472">
        <f>LET(t,[@[Type verlof]],s,SEQUENCE(MAX(1,LEN(t)-3)),k,IFERROR(--MID(t,s,4),0),g,FILTER(k,(k&gt;=2000)*(k&lt;=2100),""),IFERROR(INDEX(g,1),""))</f>
        <v/>
      </c>
      <c r="P472">
        <f>LET(t,[@[Type verlof]],jj,[@Opbouwjaar],s,IF(jj="",t,SUBSTITUTE(t," "&amp;jj,"")),TRIM(s))</f>
        <v/>
      </c>
      <c r="Q472">
        <f>IF([@[Type verlof]]="","",IFERROR(XLOOKUP([@Basis_type],tblInstellingen[Basis verloftype],tblInstellingen[Aanvullingsrechtig]),"ONBEKEND"))</f>
        <v/>
      </c>
      <c r="R472">
        <f>IF(OR([@Opbouwjaar]="",[@[Type verlof]]=""),0,IFERROR(INDEX(FILTER(tblAanvulling[Totaalbedrag],(tblAanvulling[Mdw.]=[@[Mdw.]])*(tblAanvulling[Bkjr.]=[@Opbouwjaar]),0),1),0))</f>
        <v/>
      </c>
      <c r="S472">
        <f>IF([@Aanvullingsrechtig]="Ja",[@Beginsaldo]*[@Aanvulling_pu],0)</f>
        <v/>
      </c>
      <c r="T472">
        <f>IF(AND([@Opbouwjaar]&lt;&gt;"",[@Beginsaldo]&lt;&gt;0,OR([@Aanvullingsrechtig]="Ja",[@Aanvullingsrechtig]="Nee")),1,0)</f>
        <v/>
      </c>
    </row>
    <row r="473">
      <c r="O473">
        <f>LET(t,[@[Type verlof]],s,SEQUENCE(MAX(1,LEN(t)-3)),k,IFERROR(--MID(t,s,4),0),g,FILTER(k,(k&gt;=2000)*(k&lt;=2100),""),IFERROR(INDEX(g,1),""))</f>
        <v/>
      </c>
      <c r="P473">
        <f>LET(t,[@[Type verlof]],jj,[@Opbouwjaar],s,IF(jj="",t,SUBSTITUTE(t," "&amp;jj,"")),TRIM(s))</f>
        <v/>
      </c>
      <c r="Q473">
        <f>IF([@[Type verlof]]="","",IFERROR(XLOOKUP([@Basis_type],tblInstellingen[Basis verloftype],tblInstellingen[Aanvullingsrechtig]),"ONBEKEND"))</f>
        <v/>
      </c>
      <c r="R473">
        <f>IF(OR([@Opbouwjaar]="",[@[Type verlof]]=""),0,IFERROR(INDEX(FILTER(tblAanvulling[Totaalbedrag],(tblAanvulling[Mdw.]=[@[Mdw.]])*(tblAanvulling[Bkjr.]=[@Opbouwjaar]),0),1),0))</f>
        <v/>
      </c>
      <c r="S473">
        <f>IF([@Aanvullingsrechtig]="Ja",[@Beginsaldo]*[@Aanvulling_pu],0)</f>
        <v/>
      </c>
      <c r="T473">
        <f>IF(AND([@Opbouwjaar]&lt;&gt;"",[@Beginsaldo]&lt;&gt;0,OR([@Aanvullingsrechtig]="Ja",[@Aanvullingsrechtig]="Nee")),1,0)</f>
        <v/>
      </c>
    </row>
    <row r="474">
      <c r="O474">
        <f>LET(t,[@[Type verlof]],s,SEQUENCE(MAX(1,LEN(t)-3)),k,IFERROR(--MID(t,s,4),0),g,FILTER(k,(k&gt;=2000)*(k&lt;=2100),""),IFERROR(INDEX(g,1),""))</f>
        <v/>
      </c>
      <c r="P474">
        <f>LET(t,[@[Type verlof]],jj,[@Opbouwjaar],s,IF(jj="",t,SUBSTITUTE(t," "&amp;jj,"")),TRIM(s))</f>
        <v/>
      </c>
      <c r="Q474">
        <f>IF([@[Type verlof]]="","",IFERROR(XLOOKUP([@Basis_type],tblInstellingen[Basis verloftype],tblInstellingen[Aanvullingsrechtig]),"ONBEKEND"))</f>
        <v/>
      </c>
      <c r="R474">
        <f>IF(OR([@Opbouwjaar]="",[@[Type verlof]]=""),0,IFERROR(INDEX(FILTER(tblAanvulling[Totaalbedrag],(tblAanvulling[Mdw.]=[@[Mdw.]])*(tblAanvulling[Bkjr.]=[@Opbouwjaar]),0),1),0))</f>
        <v/>
      </c>
      <c r="S474">
        <f>IF([@Aanvullingsrechtig]="Ja",[@Beginsaldo]*[@Aanvulling_pu],0)</f>
        <v/>
      </c>
      <c r="T474">
        <f>IF(AND([@Opbouwjaar]&lt;&gt;"",[@Beginsaldo]&lt;&gt;0,OR([@Aanvullingsrechtig]="Ja",[@Aanvullingsrechtig]="Nee")),1,0)</f>
        <v/>
      </c>
    </row>
    <row r="475">
      <c r="O475">
        <f>LET(t,[@[Type verlof]],s,SEQUENCE(MAX(1,LEN(t)-3)),k,IFERROR(--MID(t,s,4),0),g,FILTER(k,(k&gt;=2000)*(k&lt;=2100),""),IFERROR(INDEX(g,1),""))</f>
        <v/>
      </c>
      <c r="P475">
        <f>LET(t,[@[Type verlof]],jj,[@Opbouwjaar],s,IF(jj="",t,SUBSTITUTE(t," "&amp;jj,"")),TRIM(s))</f>
        <v/>
      </c>
      <c r="Q475">
        <f>IF([@[Type verlof]]="","",IFERROR(XLOOKUP([@Basis_type],tblInstellingen[Basis verloftype],tblInstellingen[Aanvullingsrechtig]),"ONBEKEND"))</f>
        <v/>
      </c>
      <c r="R475">
        <f>IF(OR([@Opbouwjaar]="",[@[Type verlof]]=""),0,IFERROR(INDEX(FILTER(tblAanvulling[Totaalbedrag],(tblAanvulling[Mdw.]=[@[Mdw.]])*(tblAanvulling[Bkjr.]=[@Opbouwjaar]),0),1),0))</f>
        <v/>
      </c>
      <c r="S475">
        <f>IF([@Aanvullingsrechtig]="Ja",[@Beginsaldo]*[@Aanvulling_pu],0)</f>
        <v/>
      </c>
      <c r="T475">
        <f>IF(AND([@Opbouwjaar]&lt;&gt;"",[@Beginsaldo]&lt;&gt;0,OR([@Aanvullingsrechtig]="Ja",[@Aanvullingsrechtig]="Nee")),1,0)</f>
        <v/>
      </c>
    </row>
    <row r="476">
      <c r="O476">
        <f>LET(t,[@[Type verlof]],s,SEQUENCE(MAX(1,LEN(t)-3)),k,IFERROR(--MID(t,s,4),0),g,FILTER(k,(k&gt;=2000)*(k&lt;=2100),""),IFERROR(INDEX(g,1),""))</f>
        <v/>
      </c>
      <c r="P476">
        <f>LET(t,[@[Type verlof]],jj,[@Opbouwjaar],s,IF(jj="",t,SUBSTITUTE(t," "&amp;jj,"")),TRIM(s))</f>
        <v/>
      </c>
      <c r="Q476">
        <f>IF([@[Type verlof]]="","",IFERROR(XLOOKUP([@Basis_type],tblInstellingen[Basis verloftype],tblInstellingen[Aanvullingsrechtig]),"ONBEKEND"))</f>
        <v/>
      </c>
      <c r="R476">
        <f>IF(OR([@Opbouwjaar]="",[@[Type verlof]]=""),0,IFERROR(INDEX(FILTER(tblAanvulling[Totaalbedrag],(tblAanvulling[Mdw.]=[@[Mdw.]])*(tblAanvulling[Bkjr.]=[@Opbouwjaar]),0),1),0))</f>
        <v/>
      </c>
      <c r="S476">
        <f>IF([@Aanvullingsrechtig]="Ja",[@Beginsaldo]*[@Aanvulling_pu],0)</f>
        <v/>
      </c>
      <c r="T476">
        <f>IF(AND([@Opbouwjaar]&lt;&gt;"",[@Beginsaldo]&lt;&gt;0,OR([@Aanvullingsrechtig]="Ja",[@Aanvullingsrechtig]="Nee")),1,0)</f>
        <v/>
      </c>
    </row>
    <row r="477">
      <c r="O477">
        <f>LET(t,[@[Type verlof]],s,SEQUENCE(MAX(1,LEN(t)-3)),k,IFERROR(--MID(t,s,4),0),g,FILTER(k,(k&gt;=2000)*(k&lt;=2100),""),IFERROR(INDEX(g,1),""))</f>
        <v/>
      </c>
      <c r="P477">
        <f>LET(t,[@[Type verlof]],jj,[@Opbouwjaar],s,IF(jj="",t,SUBSTITUTE(t," "&amp;jj,"")),TRIM(s))</f>
        <v/>
      </c>
      <c r="Q477">
        <f>IF([@[Type verlof]]="","",IFERROR(XLOOKUP([@Basis_type],tblInstellingen[Basis verloftype],tblInstellingen[Aanvullingsrechtig]),"ONBEKEND"))</f>
        <v/>
      </c>
      <c r="R477">
        <f>IF(OR([@Opbouwjaar]="",[@[Type verlof]]=""),0,IFERROR(INDEX(FILTER(tblAanvulling[Totaalbedrag],(tblAanvulling[Mdw.]=[@[Mdw.]])*(tblAanvulling[Bkjr.]=[@Opbouwjaar]),0),1),0))</f>
        <v/>
      </c>
      <c r="S477">
        <f>IF([@Aanvullingsrechtig]="Ja",[@Beginsaldo]*[@Aanvulling_pu],0)</f>
        <v/>
      </c>
      <c r="T477">
        <f>IF(AND([@Opbouwjaar]&lt;&gt;"",[@Beginsaldo]&lt;&gt;0,OR([@Aanvullingsrechtig]="Ja",[@Aanvullingsrechtig]="Nee")),1,0)</f>
        <v/>
      </c>
    </row>
    <row r="478">
      <c r="O478">
        <f>LET(t,[@[Type verlof]],s,SEQUENCE(MAX(1,LEN(t)-3)),k,IFERROR(--MID(t,s,4),0),g,FILTER(k,(k&gt;=2000)*(k&lt;=2100),""),IFERROR(INDEX(g,1),""))</f>
        <v/>
      </c>
      <c r="P478">
        <f>LET(t,[@[Type verlof]],jj,[@Opbouwjaar],s,IF(jj="",t,SUBSTITUTE(t," "&amp;jj,"")),TRIM(s))</f>
        <v/>
      </c>
      <c r="Q478">
        <f>IF([@[Type verlof]]="","",IFERROR(XLOOKUP([@Basis_type],tblInstellingen[Basis verloftype],tblInstellingen[Aanvullingsrechtig]),"ONBEKEND"))</f>
        <v/>
      </c>
      <c r="R478">
        <f>IF(OR([@Opbouwjaar]="",[@[Type verlof]]=""),0,IFERROR(INDEX(FILTER(tblAanvulling[Totaalbedrag],(tblAanvulling[Mdw.]=[@[Mdw.]])*(tblAanvulling[Bkjr.]=[@Opbouwjaar]),0),1),0))</f>
        <v/>
      </c>
      <c r="S478">
        <f>IF([@Aanvullingsrechtig]="Ja",[@Beginsaldo]*[@Aanvulling_pu],0)</f>
        <v/>
      </c>
      <c r="T478">
        <f>IF(AND([@Opbouwjaar]&lt;&gt;"",[@Beginsaldo]&lt;&gt;0,OR([@Aanvullingsrechtig]="Ja",[@Aanvullingsrechtig]="Nee")),1,0)</f>
        <v/>
      </c>
    </row>
    <row r="479">
      <c r="O479">
        <f>LET(t,[@[Type verlof]],s,SEQUENCE(MAX(1,LEN(t)-3)),k,IFERROR(--MID(t,s,4),0),g,FILTER(k,(k&gt;=2000)*(k&lt;=2100),""),IFERROR(INDEX(g,1),""))</f>
        <v/>
      </c>
      <c r="P479">
        <f>LET(t,[@[Type verlof]],jj,[@Opbouwjaar],s,IF(jj="",t,SUBSTITUTE(t," "&amp;jj,"")),TRIM(s))</f>
        <v/>
      </c>
      <c r="Q479">
        <f>IF([@[Type verlof]]="","",IFERROR(XLOOKUP([@Basis_type],tblInstellingen[Basis verloftype],tblInstellingen[Aanvullingsrechtig]),"ONBEKEND"))</f>
        <v/>
      </c>
      <c r="R479">
        <f>IF(OR([@Opbouwjaar]="",[@[Type verlof]]=""),0,IFERROR(INDEX(FILTER(tblAanvulling[Totaalbedrag],(tblAanvulling[Mdw.]=[@[Mdw.]])*(tblAanvulling[Bkjr.]=[@Opbouwjaar]),0),1),0))</f>
        <v/>
      </c>
      <c r="S479">
        <f>IF([@Aanvullingsrechtig]="Ja",[@Beginsaldo]*[@Aanvulling_pu],0)</f>
        <v/>
      </c>
      <c r="T479">
        <f>IF(AND([@Opbouwjaar]&lt;&gt;"",[@Beginsaldo]&lt;&gt;0,OR([@Aanvullingsrechtig]="Ja",[@Aanvullingsrechtig]="Nee")),1,0)</f>
        <v/>
      </c>
    </row>
    <row r="480">
      <c r="O480">
        <f>LET(t,[@[Type verlof]],s,SEQUENCE(MAX(1,LEN(t)-3)),k,IFERROR(--MID(t,s,4),0),g,FILTER(k,(k&gt;=2000)*(k&lt;=2100),""),IFERROR(INDEX(g,1),""))</f>
        <v/>
      </c>
      <c r="P480">
        <f>LET(t,[@[Type verlof]],jj,[@Opbouwjaar],s,IF(jj="",t,SUBSTITUTE(t," "&amp;jj,"")),TRIM(s))</f>
        <v/>
      </c>
      <c r="Q480">
        <f>IF([@[Type verlof]]="","",IFERROR(XLOOKUP([@Basis_type],tblInstellingen[Basis verloftype],tblInstellingen[Aanvullingsrechtig]),"ONBEKEND"))</f>
        <v/>
      </c>
      <c r="R480">
        <f>IF(OR([@Opbouwjaar]="",[@[Type verlof]]=""),0,IFERROR(INDEX(FILTER(tblAanvulling[Totaalbedrag],(tblAanvulling[Mdw.]=[@[Mdw.]])*(tblAanvulling[Bkjr.]=[@Opbouwjaar]),0),1),0))</f>
        <v/>
      </c>
      <c r="S480">
        <f>IF([@Aanvullingsrechtig]="Ja",[@Beginsaldo]*[@Aanvulling_pu],0)</f>
        <v/>
      </c>
      <c r="T480">
        <f>IF(AND([@Opbouwjaar]&lt;&gt;"",[@Beginsaldo]&lt;&gt;0,OR([@Aanvullingsrechtig]="Ja",[@Aanvullingsrechtig]="Nee")),1,0)</f>
        <v/>
      </c>
    </row>
    <row r="481">
      <c r="O481">
        <f>LET(t,[@[Type verlof]],s,SEQUENCE(MAX(1,LEN(t)-3)),k,IFERROR(--MID(t,s,4),0),g,FILTER(k,(k&gt;=2000)*(k&lt;=2100),""),IFERROR(INDEX(g,1),""))</f>
        <v/>
      </c>
      <c r="P481">
        <f>LET(t,[@[Type verlof]],jj,[@Opbouwjaar],s,IF(jj="",t,SUBSTITUTE(t," "&amp;jj,"")),TRIM(s))</f>
        <v/>
      </c>
      <c r="Q481">
        <f>IF([@[Type verlof]]="","",IFERROR(XLOOKUP([@Basis_type],tblInstellingen[Basis verloftype],tblInstellingen[Aanvullingsrechtig]),"ONBEKEND"))</f>
        <v/>
      </c>
      <c r="R481">
        <f>IF(OR([@Opbouwjaar]="",[@[Type verlof]]=""),0,IFERROR(INDEX(FILTER(tblAanvulling[Totaalbedrag],(tblAanvulling[Mdw.]=[@[Mdw.]])*(tblAanvulling[Bkjr.]=[@Opbouwjaar]),0),1),0))</f>
        <v/>
      </c>
      <c r="S481">
        <f>IF([@Aanvullingsrechtig]="Ja",[@Beginsaldo]*[@Aanvulling_pu],0)</f>
        <v/>
      </c>
      <c r="T481">
        <f>IF(AND([@Opbouwjaar]&lt;&gt;"",[@Beginsaldo]&lt;&gt;0,OR([@Aanvullingsrechtig]="Ja",[@Aanvullingsrechtig]="Nee")),1,0)</f>
        <v/>
      </c>
    </row>
    <row r="482">
      <c r="O482">
        <f>LET(t,[@[Type verlof]],s,SEQUENCE(MAX(1,LEN(t)-3)),k,IFERROR(--MID(t,s,4),0),g,FILTER(k,(k&gt;=2000)*(k&lt;=2100),""),IFERROR(INDEX(g,1),""))</f>
        <v/>
      </c>
      <c r="P482">
        <f>LET(t,[@[Type verlof]],jj,[@Opbouwjaar],s,IF(jj="",t,SUBSTITUTE(t," "&amp;jj,"")),TRIM(s))</f>
        <v/>
      </c>
      <c r="Q482">
        <f>IF([@[Type verlof]]="","",IFERROR(XLOOKUP([@Basis_type],tblInstellingen[Basis verloftype],tblInstellingen[Aanvullingsrechtig]),"ONBEKEND"))</f>
        <v/>
      </c>
      <c r="R482">
        <f>IF(OR([@Opbouwjaar]="",[@[Type verlof]]=""),0,IFERROR(INDEX(FILTER(tblAanvulling[Totaalbedrag],(tblAanvulling[Mdw.]=[@[Mdw.]])*(tblAanvulling[Bkjr.]=[@Opbouwjaar]),0),1),0))</f>
        <v/>
      </c>
      <c r="S482">
        <f>IF([@Aanvullingsrechtig]="Ja",[@Beginsaldo]*[@Aanvulling_pu],0)</f>
        <v/>
      </c>
      <c r="T482">
        <f>IF(AND([@Opbouwjaar]&lt;&gt;"",[@Beginsaldo]&lt;&gt;0,OR([@Aanvullingsrechtig]="Ja",[@Aanvullingsrechtig]="Nee")),1,0)</f>
        <v/>
      </c>
    </row>
    <row r="483">
      <c r="O483">
        <f>LET(t,[@[Type verlof]],s,SEQUENCE(MAX(1,LEN(t)-3)),k,IFERROR(--MID(t,s,4),0),g,FILTER(k,(k&gt;=2000)*(k&lt;=2100),""),IFERROR(INDEX(g,1),""))</f>
        <v/>
      </c>
      <c r="P483">
        <f>LET(t,[@[Type verlof]],jj,[@Opbouwjaar],s,IF(jj="",t,SUBSTITUTE(t," "&amp;jj,"")),TRIM(s))</f>
        <v/>
      </c>
      <c r="Q483">
        <f>IF([@[Type verlof]]="","",IFERROR(XLOOKUP([@Basis_type],tblInstellingen[Basis verloftype],tblInstellingen[Aanvullingsrechtig]),"ONBEKEND"))</f>
        <v/>
      </c>
      <c r="R483">
        <f>IF(OR([@Opbouwjaar]="",[@[Type verlof]]=""),0,IFERROR(INDEX(FILTER(tblAanvulling[Totaalbedrag],(tblAanvulling[Mdw.]=[@[Mdw.]])*(tblAanvulling[Bkjr.]=[@Opbouwjaar]),0),1),0))</f>
        <v/>
      </c>
      <c r="S483">
        <f>IF([@Aanvullingsrechtig]="Ja",[@Beginsaldo]*[@Aanvulling_pu],0)</f>
        <v/>
      </c>
      <c r="T483">
        <f>IF(AND([@Opbouwjaar]&lt;&gt;"",[@Beginsaldo]&lt;&gt;0,OR([@Aanvullingsrechtig]="Ja",[@Aanvullingsrechtig]="Nee")),1,0)</f>
        <v/>
      </c>
    </row>
    <row r="484">
      <c r="O484">
        <f>LET(t,[@[Type verlof]],s,SEQUENCE(MAX(1,LEN(t)-3)),k,IFERROR(--MID(t,s,4),0),g,FILTER(k,(k&gt;=2000)*(k&lt;=2100),""),IFERROR(INDEX(g,1),""))</f>
        <v/>
      </c>
      <c r="P484">
        <f>LET(t,[@[Type verlof]],jj,[@Opbouwjaar],s,IF(jj="",t,SUBSTITUTE(t," "&amp;jj,"")),TRIM(s))</f>
        <v/>
      </c>
      <c r="Q484">
        <f>IF([@[Type verlof]]="","",IFERROR(XLOOKUP([@Basis_type],tblInstellingen[Basis verloftype],tblInstellingen[Aanvullingsrechtig]),"ONBEKEND"))</f>
        <v/>
      </c>
      <c r="R484">
        <f>IF(OR([@Opbouwjaar]="",[@[Type verlof]]=""),0,IFERROR(INDEX(FILTER(tblAanvulling[Totaalbedrag],(tblAanvulling[Mdw.]=[@[Mdw.]])*(tblAanvulling[Bkjr.]=[@Opbouwjaar]),0),1),0))</f>
        <v/>
      </c>
      <c r="S484">
        <f>IF([@Aanvullingsrechtig]="Ja",[@Beginsaldo]*[@Aanvulling_pu],0)</f>
        <v/>
      </c>
      <c r="T484">
        <f>IF(AND([@Opbouwjaar]&lt;&gt;"",[@Beginsaldo]&lt;&gt;0,OR([@Aanvullingsrechtig]="Ja",[@Aanvullingsrechtig]="Nee")),1,0)</f>
        <v/>
      </c>
    </row>
    <row r="485">
      <c r="O485">
        <f>LET(t,[@[Type verlof]],s,SEQUENCE(MAX(1,LEN(t)-3)),k,IFERROR(--MID(t,s,4),0),g,FILTER(k,(k&gt;=2000)*(k&lt;=2100),""),IFERROR(INDEX(g,1),""))</f>
        <v/>
      </c>
      <c r="P485">
        <f>LET(t,[@[Type verlof]],jj,[@Opbouwjaar],s,IF(jj="",t,SUBSTITUTE(t," "&amp;jj,"")),TRIM(s))</f>
        <v/>
      </c>
      <c r="Q485">
        <f>IF([@[Type verlof]]="","",IFERROR(XLOOKUP([@Basis_type],tblInstellingen[Basis verloftype],tblInstellingen[Aanvullingsrechtig]),"ONBEKEND"))</f>
        <v/>
      </c>
      <c r="R485">
        <f>IF(OR([@Opbouwjaar]="",[@[Type verlof]]=""),0,IFERROR(INDEX(FILTER(tblAanvulling[Totaalbedrag],(tblAanvulling[Mdw.]=[@[Mdw.]])*(tblAanvulling[Bkjr.]=[@Opbouwjaar]),0),1),0))</f>
        <v/>
      </c>
      <c r="S485">
        <f>IF([@Aanvullingsrechtig]="Ja",[@Beginsaldo]*[@Aanvulling_pu],0)</f>
        <v/>
      </c>
      <c r="T485">
        <f>IF(AND([@Opbouwjaar]&lt;&gt;"",[@Beginsaldo]&lt;&gt;0,OR([@Aanvullingsrechtig]="Ja",[@Aanvullingsrechtig]="Nee")),1,0)</f>
        <v/>
      </c>
    </row>
    <row r="486">
      <c r="O486">
        <f>LET(t,[@[Type verlof]],s,SEQUENCE(MAX(1,LEN(t)-3)),k,IFERROR(--MID(t,s,4),0),g,FILTER(k,(k&gt;=2000)*(k&lt;=2100),""),IFERROR(INDEX(g,1),""))</f>
        <v/>
      </c>
      <c r="P486">
        <f>LET(t,[@[Type verlof]],jj,[@Opbouwjaar],s,IF(jj="",t,SUBSTITUTE(t," "&amp;jj,"")),TRIM(s))</f>
        <v/>
      </c>
      <c r="Q486">
        <f>IF([@[Type verlof]]="","",IFERROR(XLOOKUP([@Basis_type],tblInstellingen[Basis verloftype],tblInstellingen[Aanvullingsrechtig]),"ONBEKEND"))</f>
        <v/>
      </c>
      <c r="R486">
        <f>IF(OR([@Opbouwjaar]="",[@[Type verlof]]=""),0,IFERROR(INDEX(FILTER(tblAanvulling[Totaalbedrag],(tblAanvulling[Mdw.]=[@[Mdw.]])*(tblAanvulling[Bkjr.]=[@Opbouwjaar]),0),1),0))</f>
        <v/>
      </c>
      <c r="S486">
        <f>IF([@Aanvullingsrechtig]="Ja",[@Beginsaldo]*[@Aanvulling_pu],0)</f>
        <v/>
      </c>
      <c r="T486">
        <f>IF(AND([@Opbouwjaar]&lt;&gt;"",[@Beginsaldo]&lt;&gt;0,OR([@Aanvullingsrechtig]="Ja",[@Aanvullingsrechtig]="Nee")),1,0)</f>
        <v/>
      </c>
    </row>
    <row r="487">
      <c r="O487">
        <f>LET(t,[@[Type verlof]],s,SEQUENCE(MAX(1,LEN(t)-3)),k,IFERROR(--MID(t,s,4),0),g,FILTER(k,(k&gt;=2000)*(k&lt;=2100),""),IFERROR(INDEX(g,1),""))</f>
        <v/>
      </c>
      <c r="P487">
        <f>LET(t,[@[Type verlof]],jj,[@Opbouwjaar],s,IF(jj="",t,SUBSTITUTE(t," "&amp;jj,"")),TRIM(s))</f>
        <v/>
      </c>
      <c r="Q487">
        <f>IF([@[Type verlof]]="","",IFERROR(XLOOKUP([@Basis_type],tblInstellingen[Basis verloftype],tblInstellingen[Aanvullingsrechtig]),"ONBEKEND"))</f>
        <v/>
      </c>
      <c r="R487">
        <f>IF(OR([@Opbouwjaar]="",[@[Type verlof]]=""),0,IFERROR(INDEX(FILTER(tblAanvulling[Totaalbedrag],(tblAanvulling[Mdw.]=[@[Mdw.]])*(tblAanvulling[Bkjr.]=[@Opbouwjaar]),0),1),0))</f>
        <v/>
      </c>
      <c r="S487">
        <f>IF([@Aanvullingsrechtig]="Ja",[@Beginsaldo]*[@Aanvulling_pu],0)</f>
        <v/>
      </c>
      <c r="T487">
        <f>IF(AND([@Opbouwjaar]&lt;&gt;"",[@Beginsaldo]&lt;&gt;0,OR([@Aanvullingsrechtig]="Ja",[@Aanvullingsrechtig]="Nee")),1,0)</f>
        <v/>
      </c>
    </row>
    <row r="488">
      <c r="O488">
        <f>LET(t,[@[Type verlof]],s,SEQUENCE(MAX(1,LEN(t)-3)),k,IFERROR(--MID(t,s,4),0),g,FILTER(k,(k&gt;=2000)*(k&lt;=2100),""),IFERROR(INDEX(g,1),""))</f>
        <v/>
      </c>
      <c r="P488">
        <f>LET(t,[@[Type verlof]],jj,[@Opbouwjaar],s,IF(jj="",t,SUBSTITUTE(t," "&amp;jj,"")),TRIM(s))</f>
        <v/>
      </c>
      <c r="Q488">
        <f>IF([@[Type verlof]]="","",IFERROR(XLOOKUP([@Basis_type],tblInstellingen[Basis verloftype],tblInstellingen[Aanvullingsrechtig]),"ONBEKEND"))</f>
        <v/>
      </c>
      <c r="R488">
        <f>IF(OR([@Opbouwjaar]="",[@[Type verlof]]=""),0,IFERROR(INDEX(FILTER(tblAanvulling[Totaalbedrag],(tblAanvulling[Mdw.]=[@[Mdw.]])*(tblAanvulling[Bkjr.]=[@Opbouwjaar]),0),1),0))</f>
        <v/>
      </c>
      <c r="S488">
        <f>IF([@Aanvullingsrechtig]="Ja",[@Beginsaldo]*[@Aanvulling_pu],0)</f>
        <v/>
      </c>
      <c r="T488">
        <f>IF(AND([@Opbouwjaar]&lt;&gt;"",[@Beginsaldo]&lt;&gt;0,OR([@Aanvullingsrechtig]="Ja",[@Aanvullingsrechtig]="Nee")),1,0)</f>
        <v/>
      </c>
    </row>
    <row r="489">
      <c r="O489">
        <f>LET(t,[@[Type verlof]],s,SEQUENCE(MAX(1,LEN(t)-3)),k,IFERROR(--MID(t,s,4),0),g,FILTER(k,(k&gt;=2000)*(k&lt;=2100),""),IFERROR(INDEX(g,1),""))</f>
        <v/>
      </c>
      <c r="P489">
        <f>LET(t,[@[Type verlof]],jj,[@Opbouwjaar],s,IF(jj="",t,SUBSTITUTE(t," "&amp;jj,"")),TRIM(s))</f>
        <v/>
      </c>
      <c r="Q489">
        <f>IF([@[Type verlof]]="","",IFERROR(XLOOKUP([@Basis_type],tblInstellingen[Basis verloftype],tblInstellingen[Aanvullingsrechtig]),"ONBEKEND"))</f>
        <v/>
      </c>
      <c r="R489">
        <f>IF(OR([@Opbouwjaar]="",[@[Type verlof]]=""),0,IFERROR(INDEX(FILTER(tblAanvulling[Totaalbedrag],(tblAanvulling[Mdw.]=[@[Mdw.]])*(tblAanvulling[Bkjr.]=[@Opbouwjaar]),0),1),0))</f>
        <v/>
      </c>
      <c r="S489">
        <f>IF([@Aanvullingsrechtig]="Ja",[@Beginsaldo]*[@Aanvulling_pu],0)</f>
        <v/>
      </c>
      <c r="T489">
        <f>IF(AND([@Opbouwjaar]&lt;&gt;"",[@Beginsaldo]&lt;&gt;0,OR([@Aanvullingsrechtig]="Ja",[@Aanvullingsrechtig]="Nee")),1,0)</f>
        <v/>
      </c>
    </row>
    <row r="490">
      <c r="O490">
        <f>LET(t,[@[Type verlof]],s,SEQUENCE(MAX(1,LEN(t)-3)),k,IFERROR(--MID(t,s,4),0),g,FILTER(k,(k&gt;=2000)*(k&lt;=2100),""),IFERROR(INDEX(g,1),""))</f>
        <v/>
      </c>
      <c r="P490">
        <f>LET(t,[@[Type verlof]],jj,[@Opbouwjaar],s,IF(jj="",t,SUBSTITUTE(t," "&amp;jj,"")),TRIM(s))</f>
        <v/>
      </c>
      <c r="Q490">
        <f>IF([@[Type verlof]]="","",IFERROR(XLOOKUP([@Basis_type],tblInstellingen[Basis verloftype],tblInstellingen[Aanvullingsrechtig]),"ONBEKEND"))</f>
        <v/>
      </c>
      <c r="R490">
        <f>IF(OR([@Opbouwjaar]="",[@[Type verlof]]=""),0,IFERROR(INDEX(FILTER(tblAanvulling[Totaalbedrag],(tblAanvulling[Mdw.]=[@[Mdw.]])*(tblAanvulling[Bkjr.]=[@Opbouwjaar]),0),1),0))</f>
        <v/>
      </c>
      <c r="S490">
        <f>IF([@Aanvullingsrechtig]="Ja",[@Beginsaldo]*[@Aanvulling_pu],0)</f>
        <v/>
      </c>
      <c r="T490">
        <f>IF(AND([@Opbouwjaar]&lt;&gt;"",[@Beginsaldo]&lt;&gt;0,OR([@Aanvullingsrechtig]="Ja",[@Aanvullingsrechtig]="Nee")),1,0)</f>
        <v/>
      </c>
    </row>
    <row r="491">
      <c r="O491">
        <f>LET(t,[@[Type verlof]],s,SEQUENCE(MAX(1,LEN(t)-3)),k,IFERROR(--MID(t,s,4),0),g,FILTER(k,(k&gt;=2000)*(k&lt;=2100),""),IFERROR(INDEX(g,1),""))</f>
        <v/>
      </c>
      <c r="P491">
        <f>LET(t,[@[Type verlof]],jj,[@Opbouwjaar],s,IF(jj="",t,SUBSTITUTE(t," "&amp;jj,"")),TRIM(s))</f>
        <v/>
      </c>
      <c r="Q491">
        <f>IF([@[Type verlof]]="","",IFERROR(XLOOKUP([@Basis_type],tblInstellingen[Basis verloftype],tblInstellingen[Aanvullingsrechtig]),"ONBEKEND"))</f>
        <v/>
      </c>
      <c r="R491">
        <f>IF(OR([@Opbouwjaar]="",[@[Type verlof]]=""),0,IFERROR(INDEX(FILTER(tblAanvulling[Totaalbedrag],(tblAanvulling[Mdw.]=[@[Mdw.]])*(tblAanvulling[Bkjr.]=[@Opbouwjaar]),0),1),0))</f>
        <v/>
      </c>
      <c r="S491">
        <f>IF([@Aanvullingsrechtig]="Ja",[@Beginsaldo]*[@Aanvulling_pu],0)</f>
        <v/>
      </c>
      <c r="T491">
        <f>IF(AND([@Opbouwjaar]&lt;&gt;"",[@Beginsaldo]&lt;&gt;0,OR([@Aanvullingsrechtig]="Ja",[@Aanvullingsrechtig]="Nee")),1,0)</f>
        <v/>
      </c>
    </row>
    <row r="492">
      <c r="O492">
        <f>LET(t,[@[Type verlof]],s,SEQUENCE(MAX(1,LEN(t)-3)),k,IFERROR(--MID(t,s,4),0),g,FILTER(k,(k&gt;=2000)*(k&lt;=2100),""),IFERROR(INDEX(g,1),""))</f>
        <v/>
      </c>
      <c r="P492">
        <f>LET(t,[@[Type verlof]],jj,[@Opbouwjaar],s,IF(jj="",t,SUBSTITUTE(t," "&amp;jj,"")),TRIM(s))</f>
        <v/>
      </c>
      <c r="Q492">
        <f>IF([@[Type verlof]]="","",IFERROR(XLOOKUP([@Basis_type],tblInstellingen[Basis verloftype],tblInstellingen[Aanvullingsrechtig]),"ONBEKEND"))</f>
        <v/>
      </c>
      <c r="R492">
        <f>IF(OR([@Opbouwjaar]="",[@[Type verlof]]=""),0,IFERROR(INDEX(FILTER(tblAanvulling[Totaalbedrag],(tblAanvulling[Mdw.]=[@[Mdw.]])*(tblAanvulling[Bkjr.]=[@Opbouwjaar]),0),1),0))</f>
        <v/>
      </c>
      <c r="S492">
        <f>IF([@Aanvullingsrechtig]="Ja",[@Beginsaldo]*[@Aanvulling_pu],0)</f>
        <v/>
      </c>
      <c r="T492">
        <f>IF(AND([@Opbouwjaar]&lt;&gt;"",[@Beginsaldo]&lt;&gt;0,OR([@Aanvullingsrechtig]="Ja",[@Aanvullingsrechtig]="Nee")),1,0)</f>
        <v/>
      </c>
    </row>
    <row r="493">
      <c r="O493">
        <f>LET(t,[@[Type verlof]],s,SEQUENCE(MAX(1,LEN(t)-3)),k,IFERROR(--MID(t,s,4),0),g,FILTER(k,(k&gt;=2000)*(k&lt;=2100),""),IFERROR(INDEX(g,1),""))</f>
        <v/>
      </c>
      <c r="P493">
        <f>LET(t,[@[Type verlof]],jj,[@Opbouwjaar],s,IF(jj="",t,SUBSTITUTE(t," "&amp;jj,"")),TRIM(s))</f>
        <v/>
      </c>
      <c r="Q493">
        <f>IF([@[Type verlof]]="","",IFERROR(XLOOKUP([@Basis_type],tblInstellingen[Basis verloftype],tblInstellingen[Aanvullingsrechtig]),"ONBEKEND"))</f>
        <v/>
      </c>
      <c r="R493">
        <f>IF(OR([@Opbouwjaar]="",[@[Type verlof]]=""),0,IFERROR(INDEX(FILTER(tblAanvulling[Totaalbedrag],(tblAanvulling[Mdw.]=[@[Mdw.]])*(tblAanvulling[Bkjr.]=[@Opbouwjaar]),0),1),0))</f>
        <v/>
      </c>
      <c r="S493">
        <f>IF([@Aanvullingsrechtig]="Ja",[@Beginsaldo]*[@Aanvulling_pu],0)</f>
        <v/>
      </c>
      <c r="T493">
        <f>IF(AND([@Opbouwjaar]&lt;&gt;"",[@Beginsaldo]&lt;&gt;0,OR([@Aanvullingsrechtig]="Ja",[@Aanvullingsrechtig]="Nee")),1,0)</f>
        <v/>
      </c>
    </row>
    <row r="494">
      <c r="O494">
        <f>LET(t,[@[Type verlof]],s,SEQUENCE(MAX(1,LEN(t)-3)),k,IFERROR(--MID(t,s,4),0),g,FILTER(k,(k&gt;=2000)*(k&lt;=2100),""),IFERROR(INDEX(g,1),""))</f>
        <v/>
      </c>
      <c r="P494">
        <f>LET(t,[@[Type verlof]],jj,[@Opbouwjaar],s,IF(jj="",t,SUBSTITUTE(t," "&amp;jj,"")),TRIM(s))</f>
        <v/>
      </c>
      <c r="Q494">
        <f>IF([@[Type verlof]]="","",IFERROR(XLOOKUP([@Basis_type],tblInstellingen[Basis verloftype],tblInstellingen[Aanvullingsrechtig]),"ONBEKEND"))</f>
        <v/>
      </c>
      <c r="R494">
        <f>IF(OR([@Opbouwjaar]="",[@[Type verlof]]=""),0,IFERROR(INDEX(FILTER(tblAanvulling[Totaalbedrag],(tblAanvulling[Mdw.]=[@[Mdw.]])*(tblAanvulling[Bkjr.]=[@Opbouwjaar]),0),1),0))</f>
        <v/>
      </c>
      <c r="S494">
        <f>IF([@Aanvullingsrechtig]="Ja",[@Beginsaldo]*[@Aanvulling_pu],0)</f>
        <v/>
      </c>
      <c r="T494">
        <f>IF(AND([@Opbouwjaar]&lt;&gt;"",[@Beginsaldo]&lt;&gt;0,OR([@Aanvullingsrechtig]="Ja",[@Aanvullingsrechtig]="Nee")),1,0)</f>
        <v/>
      </c>
    </row>
    <row r="495">
      <c r="O495">
        <f>LET(t,[@[Type verlof]],s,SEQUENCE(MAX(1,LEN(t)-3)),k,IFERROR(--MID(t,s,4),0),g,FILTER(k,(k&gt;=2000)*(k&lt;=2100),""),IFERROR(INDEX(g,1),""))</f>
        <v/>
      </c>
      <c r="P495">
        <f>LET(t,[@[Type verlof]],jj,[@Opbouwjaar],s,IF(jj="",t,SUBSTITUTE(t," "&amp;jj,"")),TRIM(s))</f>
        <v/>
      </c>
      <c r="Q495">
        <f>IF([@[Type verlof]]="","",IFERROR(XLOOKUP([@Basis_type],tblInstellingen[Basis verloftype],tblInstellingen[Aanvullingsrechtig]),"ONBEKEND"))</f>
        <v/>
      </c>
      <c r="R495">
        <f>IF(OR([@Opbouwjaar]="",[@[Type verlof]]=""),0,IFERROR(INDEX(FILTER(tblAanvulling[Totaalbedrag],(tblAanvulling[Mdw.]=[@[Mdw.]])*(tblAanvulling[Bkjr.]=[@Opbouwjaar]),0),1),0))</f>
        <v/>
      </c>
      <c r="S495">
        <f>IF([@Aanvullingsrechtig]="Ja",[@Beginsaldo]*[@Aanvulling_pu],0)</f>
        <v/>
      </c>
      <c r="T495">
        <f>IF(AND([@Opbouwjaar]&lt;&gt;"",[@Beginsaldo]&lt;&gt;0,OR([@Aanvullingsrechtig]="Ja",[@Aanvullingsrechtig]="Nee")),1,0)</f>
        <v/>
      </c>
    </row>
    <row r="496">
      <c r="O496">
        <f>LET(t,[@[Type verlof]],s,SEQUENCE(MAX(1,LEN(t)-3)),k,IFERROR(--MID(t,s,4),0),g,FILTER(k,(k&gt;=2000)*(k&lt;=2100),""),IFERROR(INDEX(g,1),""))</f>
        <v/>
      </c>
      <c r="P496">
        <f>LET(t,[@[Type verlof]],jj,[@Opbouwjaar],s,IF(jj="",t,SUBSTITUTE(t," "&amp;jj,"")),TRIM(s))</f>
        <v/>
      </c>
      <c r="Q496">
        <f>IF([@[Type verlof]]="","",IFERROR(XLOOKUP([@Basis_type],tblInstellingen[Basis verloftype],tblInstellingen[Aanvullingsrechtig]),"ONBEKEND"))</f>
        <v/>
      </c>
      <c r="R496">
        <f>IF(OR([@Opbouwjaar]="",[@[Type verlof]]=""),0,IFERROR(INDEX(FILTER(tblAanvulling[Totaalbedrag],(tblAanvulling[Mdw.]=[@[Mdw.]])*(tblAanvulling[Bkjr.]=[@Opbouwjaar]),0),1),0))</f>
        <v/>
      </c>
      <c r="S496">
        <f>IF([@Aanvullingsrechtig]="Ja",[@Beginsaldo]*[@Aanvulling_pu],0)</f>
        <v/>
      </c>
      <c r="T496">
        <f>IF(AND([@Opbouwjaar]&lt;&gt;"",[@Beginsaldo]&lt;&gt;0,OR([@Aanvullingsrechtig]="Ja",[@Aanvullingsrechtig]="Nee")),1,0)</f>
        <v/>
      </c>
    </row>
    <row r="497">
      <c r="O497">
        <f>LET(t,[@[Type verlof]],s,SEQUENCE(MAX(1,LEN(t)-3)),k,IFERROR(--MID(t,s,4),0),g,FILTER(k,(k&gt;=2000)*(k&lt;=2100),""),IFERROR(INDEX(g,1),""))</f>
        <v/>
      </c>
      <c r="P497">
        <f>LET(t,[@[Type verlof]],jj,[@Opbouwjaar],s,IF(jj="",t,SUBSTITUTE(t," "&amp;jj,"")),TRIM(s))</f>
        <v/>
      </c>
      <c r="Q497">
        <f>IF([@[Type verlof]]="","",IFERROR(XLOOKUP([@Basis_type],tblInstellingen[Basis verloftype],tblInstellingen[Aanvullingsrechtig]),"ONBEKEND"))</f>
        <v/>
      </c>
      <c r="R497">
        <f>IF(OR([@Opbouwjaar]="",[@[Type verlof]]=""),0,IFERROR(INDEX(FILTER(tblAanvulling[Totaalbedrag],(tblAanvulling[Mdw.]=[@[Mdw.]])*(tblAanvulling[Bkjr.]=[@Opbouwjaar]),0),1),0))</f>
        <v/>
      </c>
      <c r="S497">
        <f>IF([@Aanvullingsrechtig]="Ja",[@Beginsaldo]*[@Aanvulling_pu],0)</f>
        <v/>
      </c>
      <c r="T497">
        <f>IF(AND([@Opbouwjaar]&lt;&gt;"",[@Beginsaldo]&lt;&gt;0,OR([@Aanvullingsrechtig]="Ja",[@Aanvullingsrechtig]="Nee")),1,0)</f>
        <v/>
      </c>
    </row>
    <row r="498">
      <c r="O498">
        <f>LET(t,[@[Type verlof]],s,SEQUENCE(MAX(1,LEN(t)-3)),k,IFERROR(--MID(t,s,4),0),g,FILTER(k,(k&gt;=2000)*(k&lt;=2100),""),IFERROR(INDEX(g,1),""))</f>
        <v/>
      </c>
      <c r="P498">
        <f>LET(t,[@[Type verlof]],jj,[@Opbouwjaar],s,IF(jj="",t,SUBSTITUTE(t," "&amp;jj,"")),TRIM(s))</f>
        <v/>
      </c>
      <c r="Q498">
        <f>IF([@[Type verlof]]="","",IFERROR(XLOOKUP([@Basis_type],tblInstellingen[Basis verloftype],tblInstellingen[Aanvullingsrechtig]),"ONBEKEND"))</f>
        <v/>
      </c>
      <c r="R498">
        <f>IF(OR([@Opbouwjaar]="",[@[Type verlof]]=""),0,IFERROR(INDEX(FILTER(tblAanvulling[Totaalbedrag],(tblAanvulling[Mdw.]=[@[Mdw.]])*(tblAanvulling[Bkjr.]=[@Opbouwjaar]),0),1),0))</f>
        <v/>
      </c>
      <c r="S498">
        <f>IF([@Aanvullingsrechtig]="Ja",[@Beginsaldo]*[@Aanvulling_pu],0)</f>
        <v/>
      </c>
      <c r="T498">
        <f>IF(AND([@Opbouwjaar]&lt;&gt;"",[@Beginsaldo]&lt;&gt;0,OR([@Aanvullingsrechtig]="Ja",[@Aanvullingsrechtig]="Nee")),1,0)</f>
        <v/>
      </c>
    </row>
    <row r="499">
      <c r="O499">
        <f>LET(t,[@[Type verlof]],s,SEQUENCE(MAX(1,LEN(t)-3)),k,IFERROR(--MID(t,s,4),0),g,FILTER(k,(k&gt;=2000)*(k&lt;=2100),""),IFERROR(INDEX(g,1),""))</f>
        <v/>
      </c>
      <c r="P499">
        <f>LET(t,[@[Type verlof]],jj,[@Opbouwjaar],s,IF(jj="",t,SUBSTITUTE(t," "&amp;jj,"")),TRIM(s))</f>
        <v/>
      </c>
      <c r="Q499">
        <f>IF([@[Type verlof]]="","",IFERROR(XLOOKUP([@Basis_type],tblInstellingen[Basis verloftype],tblInstellingen[Aanvullingsrechtig]),"ONBEKEND"))</f>
        <v/>
      </c>
      <c r="R499">
        <f>IF(OR([@Opbouwjaar]="",[@[Type verlof]]=""),0,IFERROR(INDEX(FILTER(tblAanvulling[Totaalbedrag],(tblAanvulling[Mdw.]=[@[Mdw.]])*(tblAanvulling[Bkjr.]=[@Opbouwjaar]),0),1),0))</f>
        <v/>
      </c>
      <c r="S499">
        <f>IF([@Aanvullingsrechtig]="Ja",[@Beginsaldo]*[@Aanvulling_pu],0)</f>
        <v/>
      </c>
      <c r="T499">
        <f>IF(AND([@Opbouwjaar]&lt;&gt;"",[@Beginsaldo]&lt;&gt;0,OR([@Aanvullingsrechtig]="Ja",[@Aanvullingsrechtig]="Nee")),1,0)</f>
        <v/>
      </c>
    </row>
    <row r="500">
      <c r="O500">
        <f>LET(t,[@[Type verlof]],s,SEQUENCE(MAX(1,LEN(t)-3)),k,IFERROR(--MID(t,s,4),0),g,FILTER(k,(k&gt;=2000)*(k&lt;=2100),""),IFERROR(INDEX(g,1),""))</f>
        <v/>
      </c>
      <c r="P500">
        <f>LET(t,[@[Type verlof]],jj,[@Opbouwjaar],s,IF(jj="",t,SUBSTITUTE(t," "&amp;jj,"")),TRIM(s))</f>
        <v/>
      </c>
      <c r="Q500">
        <f>IF([@[Type verlof]]="","",IFERROR(XLOOKUP([@Basis_type],tblInstellingen[Basis verloftype],tblInstellingen[Aanvullingsrechtig]),"ONBEKEND"))</f>
        <v/>
      </c>
      <c r="R500">
        <f>IF(OR([@Opbouwjaar]="",[@[Type verlof]]=""),0,IFERROR(INDEX(FILTER(tblAanvulling[Totaalbedrag],(tblAanvulling[Mdw.]=[@[Mdw.]])*(tblAanvulling[Bkjr.]=[@Opbouwjaar]),0),1),0))</f>
        <v/>
      </c>
      <c r="S500">
        <f>IF([@Aanvullingsrechtig]="Ja",[@Beginsaldo]*[@Aanvulling_pu],0)</f>
        <v/>
      </c>
      <c r="T500">
        <f>IF(AND([@Opbouwjaar]&lt;&gt;"",[@Beginsaldo]&lt;&gt;0,OR([@Aanvullingsrechtig]="Ja",[@Aanvullingsrechtig]="Nee")),1,0)</f>
        <v/>
      </c>
    </row>
    <row r="501">
      <c r="O501">
        <f>LET(t,[@[Type verlof]],s,SEQUENCE(MAX(1,LEN(t)-3)),k,IFERROR(--MID(t,s,4),0),g,FILTER(k,(k&gt;=2000)*(k&lt;=2100),""),IFERROR(INDEX(g,1),""))</f>
        <v/>
      </c>
      <c r="P501">
        <f>LET(t,[@[Type verlof]],jj,[@Opbouwjaar],s,IF(jj="",t,SUBSTITUTE(t," "&amp;jj,"")),TRIM(s))</f>
        <v/>
      </c>
      <c r="Q501">
        <f>IF([@[Type verlof]]="","",IFERROR(XLOOKUP([@Basis_type],tblInstellingen[Basis verloftype],tblInstellingen[Aanvullingsrechtig]),"ONBEKEND"))</f>
        <v/>
      </c>
      <c r="R501">
        <f>IF(OR([@Opbouwjaar]="",[@[Type verlof]]=""),0,IFERROR(INDEX(FILTER(tblAanvulling[Totaalbedrag],(tblAanvulling[Mdw.]=[@[Mdw.]])*(tblAanvulling[Bkjr.]=[@Opbouwjaar]),0),1),0))</f>
        <v/>
      </c>
      <c r="S501">
        <f>IF([@Aanvullingsrechtig]="Ja",[@Beginsaldo]*[@Aanvulling_pu],0)</f>
        <v/>
      </c>
      <c r="T501">
        <f>IF(AND([@Opbouwjaar]&lt;&gt;"",[@Beginsaldo]&lt;&gt;0,OR([@Aanvullingsrechtig]="Ja",[@Aanvullingsrechtig]="Nee")),1,0)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8" customWidth="1" min="4" max="4"/>
    <col width="34" customWidth="1" min="5" max="5"/>
    <col width="14" customWidth="1" min="6" max="6"/>
    <col width="8" customWidth="1" min="7" max="7"/>
  </cols>
  <sheetData>
    <row r="1">
      <c r="A1" s="2" t="inlineStr">
        <is>
          <t>Mdw.</t>
        </is>
      </c>
      <c r="B1" s="2" t="inlineStr">
        <is>
          <t>Naam</t>
        </is>
      </c>
      <c r="C1" s="2" t="inlineStr">
        <is>
          <t>DV</t>
        </is>
      </c>
      <c r="D1" s="2" t="inlineStr">
        <is>
          <t>LC</t>
        </is>
      </c>
      <c r="E1" s="2" t="inlineStr">
        <is>
          <t>Omschrijving</t>
        </is>
      </c>
      <c r="F1" s="2" t="inlineStr">
        <is>
          <t>Totaalbedrag</t>
        </is>
      </c>
      <c r="G1" s="2" t="inlineStr">
        <is>
          <t>Bkjr.</t>
        </is>
      </c>
    </row>
    <row r="2">
      <c r="A2" t="n">
        <v>10004</v>
      </c>
      <c r="B2" t="inlineStr">
        <is>
          <t>Joris Alofs</t>
        </is>
      </c>
      <c r="C2" t="n">
        <v>1</v>
      </c>
      <c r="D2" t="n">
        <v>5448</v>
      </c>
      <c r="E2" t="inlineStr">
        <is>
          <t>Aanvulling tijdens verlof per uur</t>
        </is>
      </c>
      <c r="F2" t="n">
        <v>3.88</v>
      </c>
      <c r="G2" t="n">
        <v>2022</v>
      </c>
    </row>
    <row r="3">
      <c r="A3" t="n">
        <v>10004</v>
      </c>
      <c r="B3" t="inlineStr">
        <is>
          <t>Joris Alofs</t>
        </is>
      </c>
      <c r="C3" t="n">
        <v>1</v>
      </c>
      <c r="D3" t="n">
        <v>5448</v>
      </c>
      <c r="E3" t="inlineStr">
        <is>
          <t>Aanvulling tijdens verlof per uur</t>
        </is>
      </c>
      <c r="F3" t="n">
        <v>3.92</v>
      </c>
      <c r="G3" t="n">
        <v>2023</v>
      </c>
    </row>
    <row r="4">
      <c r="A4" t="n">
        <v>10004</v>
      </c>
      <c r="B4" t="inlineStr">
        <is>
          <t>Joris Alofs</t>
        </is>
      </c>
      <c r="C4" t="n">
        <v>1</v>
      </c>
      <c r="D4" t="n">
        <v>5448</v>
      </c>
      <c r="E4" t="inlineStr">
        <is>
          <t>Aanvulling tijdens verlof per uur</t>
        </is>
      </c>
      <c r="F4" t="n">
        <v>4.21</v>
      </c>
      <c r="G4" t="n">
        <v>2024</v>
      </c>
    </row>
    <row r="5">
      <c r="A5" t="n">
        <v>10004</v>
      </c>
      <c r="B5" t="inlineStr">
        <is>
          <t>Joris Alofs</t>
        </is>
      </c>
      <c r="C5" t="n">
        <v>1</v>
      </c>
      <c r="D5" t="n">
        <v>5448</v>
      </c>
      <c r="E5" t="inlineStr">
        <is>
          <t>Aanvulling tijdens verlof per uur</t>
        </is>
      </c>
      <c r="F5" t="n">
        <v>4.54</v>
      </c>
      <c r="G5" t="n">
        <v>2025</v>
      </c>
    </row>
    <row r="6">
      <c r="A6" t="n">
        <v>10004</v>
      </c>
      <c r="B6" t="inlineStr">
        <is>
          <t>Joris Alofs</t>
        </is>
      </c>
      <c r="C6" t="n">
        <v>2</v>
      </c>
      <c r="D6" t="n">
        <v>5448</v>
      </c>
      <c r="E6" t="inlineStr">
        <is>
          <t>Aanvulling tijdens verlof per uur</t>
        </is>
      </c>
      <c r="F6" t="n">
        <v>6.57</v>
      </c>
      <c r="G6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2" customWidth="1" min="4" max="4"/>
    <col width="28" customWidth="1" min="5" max="5"/>
  </cols>
  <sheetData>
    <row r="1">
      <c r="A1" s="2" t="inlineStr">
        <is>
          <t>Mdw.</t>
        </is>
      </c>
      <c r="B1" s="2" t="inlineStr">
        <is>
          <t>Naam</t>
        </is>
      </c>
      <c r="C1" s="2" t="inlineStr">
        <is>
          <t>Totaal uren</t>
        </is>
      </c>
      <c r="D1" s="2" t="inlineStr">
        <is>
          <t>Totaal aanvulling (€)</t>
        </is>
      </c>
      <c r="E1" s="2" t="inlineStr">
        <is>
          <t>Gewogen aanvulling p/u (€)</t>
        </is>
      </c>
    </row>
    <row r="2">
      <c r="A2">
        <f>IFERROR(SORT(UNIQUE(FILTER(tblVerlof[Mdw.],tblVerlof[Meetellen]=1,""))),"")</f>
        <v/>
      </c>
      <c r="B2">
        <f>IF(A2#="","",IFERROR(XLOOKUP(A2#,tblVerlof[Mdw.],tblVerlof[Naam]),""))</f>
        <v/>
      </c>
      <c r="C2">
        <f>IF(A2#="","",SUMIFS(tblVerlof[Beginsaldo],tblVerlof[Mdw.],A2#,tblVerlof[Meetellen],1))</f>
        <v/>
      </c>
      <c r="D2">
        <f>IF(A2#="","",SUMIFS(tblVerlof[Gewicht],tblVerlof[Mdw.],A2#,tblVerlof[Meetellen],1))</f>
        <v/>
      </c>
      <c r="E2">
        <f>IF(A2#="","",IFERROR(D2#/C2#,0))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2026-04-08T15:08:00Z</dcterms:created>
  <dcterms:modified xsi:type="dcterms:W3CDTF">2026-04-08T15:08:00Z</dcterms:modified>
</cp:coreProperties>
</file>